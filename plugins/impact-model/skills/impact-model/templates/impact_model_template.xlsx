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bjectives" sheetId="2" state="visible" r:id="rId2"/>
    <sheet xmlns:r="http://schemas.openxmlformats.org/officeDocument/2006/relationships" name="Frameworks" sheetId="3" state="visible" r:id="rId3"/>
    <sheet xmlns:r="http://schemas.openxmlformats.org/officeDocument/2006/relationships" name="Inputs" sheetId="4" state="visible" r:id="rId4"/>
    <sheet xmlns:r="http://schemas.openxmlformats.org/officeDocument/2006/relationships" name="Actuals" sheetId="5" state="visible" r:id="rId5"/>
    <sheet xmlns:r="http://schemas.openxmlformats.org/officeDocument/2006/relationships" name="Calculations" sheetId="6" state="visible" r:id="rId6"/>
    <sheet xmlns:r="http://schemas.openxmlformats.org/officeDocument/2006/relationships" name="Outputs" sheetId="7" state="visible" r:id="rId7"/>
    <sheet xmlns:r="http://schemas.openxmlformats.org/officeDocument/2006/relationships" name="Bridge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Driver tree" sheetId="11" state="visible" r:id="rId11"/>
    <sheet xmlns:r="http://schemas.openxmlformats.org/officeDocument/2006/relationships" name="Data requests" sheetId="12" state="visible" r:id="rId12"/>
  </sheets>
  <definedNames>
    <definedName name="ctl_scenario">Sensitivity!$E$5</definedName>
    <definedName name="ctl_tornado">Sensitivity!$E$6</definedName>
    <definedName name="ctl_ovr_1">Sensitivity!$E$7</definedName>
    <definedName name="ctl_ovr_2">Sensitivity!$E$8</definedName>
    <definedName name="ctl_ovr_3">Sensitivity!$E$9</definedName>
    <definedName name="ctl_ovr_4">Sensitivity!$E$10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0;[Red]-#,##0.00"/>
    <numFmt numFmtId="165" formatCode="0.0%"/>
    <numFmt numFmtId="166" formatCode="#,##0.0;[Red]-#,##0.0"/>
    <numFmt numFmtId="167" formatCode="0.0E+00"/>
    <numFmt numFmtId="168" formatCode="0.0000"/>
    <numFmt numFmtId="169" formatCode="0.000"/>
    <numFmt numFmtId="170" formatCode="0.0"/>
    <numFmt numFmtId="171" formatCode="#,##0.0"/>
  </numFmts>
  <fonts count="10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i val="1"/>
      <color rgb="00595959"/>
    </font>
    <font>
      <b val="1"/>
      <color rgb="00FFFFFF"/>
    </font>
    <font>
      <color rgb="001F4E9E"/>
    </font>
    <font>
      <color rgb="00000000"/>
    </font>
    <font>
      <b val="1"/>
      <sz val="12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pivotButton="0" quotePrefix="0" xfId="0"/>
    <xf numFmtId="171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71" fontId="0" fillId="5" borderId="0" pivotButton="0" quotePrefix="0" xfId="0"/>
    <xf numFmtId="165" fontId="0" fillId="5" borderId="0" pivotButton="0" quotePrefix="0" xfId="0"/>
    <xf numFmtId="171" fontId="2" fillId="0" borderId="0" pivotButton="0" quotePrefix="0" xfId="0"/>
    <xf numFmtId="0" fontId="8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3" borderId="0" pivotButton="0" quotePrefix="0" xfId="0"/>
    <xf numFmtId="164" fontId="7" fillId="0" borderId="0" pivotButton="0" quotePrefix="0" xfId="0"/>
    <xf numFmtId="0" fontId="0" fillId="0" borderId="0" applyAlignment="1" pivotButton="0" quotePrefix="0" xfId="0">
      <alignment/>
    </xf>
    <xf numFmtId="164" fontId="0" fillId="0" borderId="0" pivotButton="0" quotePrefix="0" xfId="0"/>
    <xf numFmtId="165" fontId="6" fillId="4" borderId="0" pivotButton="0" quotePrefix="0" xfId="0"/>
    <xf numFmtId="165" fontId="7" fillId="0" borderId="0" pivotButton="0" quotePrefix="0" xfId="0"/>
    <xf numFmtId="164" fontId="6" fillId="4" borderId="0" pivotButton="0" quotePrefix="0" xfId="0"/>
    <xf numFmtId="1" fontId="6" fillId="4" borderId="0" pivotButton="0" quotePrefix="0" xfId="0"/>
    <xf numFmtId="1" fontId="0" fillId="0" borderId="0" pivotButton="0" quotePrefix="0" xfId="0"/>
    <xf numFmtId="166" fontId="6" fillId="4" borderId="0" pivotButton="0" quotePrefix="0" xfId="0"/>
    <xf numFmtId="166" fontId="0" fillId="0" borderId="0" pivotButton="0" quotePrefix="0" xfId="0"/>
    <xf numFmtId="167" fontId="6" fillId="4" borderId="0" pivotButton="0" quotePrefix="0" xfId="0"/>
    <xf numFmtId="167" fontId="0" fillId="0" borderId="0" pivotButton="0" quotePrefix="0" xfId="0"/>
    <xf numFmtId="0" fontId="5" fillId="2" borderId="0" applyAlignment="1" pivotButton="0" quotePrefix="0" xfId="0">
      <alignment horizontal="center"/>
    </xf>
    <xf numFmtId="1" fontId="5" fillId="2" borderId="0" applyAlignment="1" pivotButton="0" quotePrefix="0" xfId="0">
      <alignment horizontal="center"/>
    </xf>
    <xf numFmtId="165" fontId="2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66" fontId="2" fillId="0" borderId="0" pivotButton="0" quotePrefix="0" xfId="0"/>
    <xf numFmtId="166" fontId="2" fillId="5" borderId="0" pivotButton="0" quotePrefix="0" xfId="0"/>
    <xf numFmtId="165" fontId="2" fillId="5" borderId="0" pivotButton="0" quotePrefix="0" xfId="0"/>
    <xf numFmtId="164" fontId="2" fillId="5" borderId="0" pivotButton="0" quotePrefix="0" xfId="0"/>
    <xf numFmtId="0" fontId="0" fillId="6" borderId="0" pivotButton="0" quotePrefix="0" xfId="0"/>
    <xf numFmtId="164" fontId="2" fillId="0" borderId="0" pivotButton="0" quotePrefix="0" xfId="0"/>
    <xf numFmtId="0" fontId="9" fillId="5" borderId="0" pivotButton="0" quotePrefix="0" xfId="0"/>
    <xf numFmtId="0" fontId="2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3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Revenue: change in 2029 by strategy (EURm)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'Objectives'!$C$11:$C$13</f>
            </numRef>
          </cat>
          <val>
            <numRef>
              <f>'Objectives'!$D$11:$D$13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Revenue: baseline vs with strategy (EURm)</a:t>
            </a:r>
          </a:p>
        </rich>
      </tx>
    </title>
    <plotArea>
      <lineChart>
        <grouping val="standard"/>
        <ser>
          <idx val="0"/>
          <order val="0"/>
          <tx>
            <v>Reported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'Outputs'!$G$4:$P$4</f>
            </numRef>
          </cat>
          <val>
            <numRef>
              <f>'Outputs'!$G$28:$P$28</f>
            </numRef>
          </val>
        </ser>
        <ser>
          <idx val="1"/>
          <order val="1"/>
          <tx>
            <v>Baseline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'Outputs'!$G$4:$P$4</f>
            </numRef>
          </cat>
          <val>
            <numRef>
              <f>'Outputs'!$G$29:$P$29</f>
            </numRef>
          </val>
        </ser>
        <ser>
          <idx val="2"/>
          <order val="2"/>
          <tx>
            <v>With strategy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'Outputs'!$G$4:$P$4</f>
            </numRef>
          </cat>
          <val>
            <numRef>
              <f>'Outputs'!$G$30:$P$30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Incremental revenue by pillar (EURm)</a:t>
            </a:r>
          </a:p>
        </rich>
      </tx>
    </title>
    <plotArea>
      <barChart>
        <barDir val="col"/>
        <grouping val="stacked"/>
        <ser>
          <idx val="0"/>
          <order val="0"/>
          <tx>
            <v>Pillar A</v>
          </tx>
          <spPr>
            <a:ln xmlns:a="http://schemas.openxmlformats.org/drawingml/2006/main">
              <a:prstDash val="solid"/>
            </a:ln>
          </spPr>
          <cat>
            <numRef>
              <f>'Outputs'!$G$4:$P$4</f>
            </numRef>
          </cat>
          <val>
            <numRef>
              <f>'Outputs'!$G$33:$P$33</f>
            </numRef>
          </val>
        </ser>
        <ser>
          <idx val="1"/>
          <order val="1"/>
          <tx>
            <v>Pillar B</v>
          </tx>
          <spPr>
            <a:ln xmlns:a="http://schemas.openxmlformats.org/drawingml/2006/main">
              <a:prstDash val="solid"/>
            </a:ln>
          </spPr>
          <cat>
            <numRef>
              <f>'Outputs'!$G$4:$P$4</f>
            </numRef>
          </cat>
          <val>
            <numRef>
              <f>'Outputs'!$G$34:$P$34</f>
            </numRef>
          </val>
        </ser>
        <ser>
          <idx val="2"/>
          <order val="2"/>
          <tx>
            <v>Pillar C</v>
          </tx>
          <spPr>
            <a:ln xmlns:a="http://schemas.openxmlformats.org/drawingml/2006/main">
              <a:prstDash val="solid"/>
            </a:ln>
          </spPr>
          <cat>
            <numRef>
              <f>'Outputs'!$G$4:$P$4</f>
            </numRef>
          </cat>
          <val>
            <numRef>
              <f>'Outputs'!$G$35:$P$35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bridge 2029 (EURm)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'Bridge'!D4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'Bridge'!$B$5:$B$9</f>
            </numRef>
          </cat>
          <val>
            <numRef>
              <f>'Bridge'!$D$5:$D$9</f>
            </numRef>
          </val>
        </ser>
        <ser>
          <idx val="1"/>
          <order val="1"/>
          <tx>
            <strRef>
              <f>'Bridge'!E4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'Bridge'!$B$5:$B$9</f>
            </numRef>
          </cat>
          <val>
            <numRef>
              <f>'Bridge'!$E$5:$E$9</f>
            </numRef>
          </val>
        </ser>
        <ser>
          <idx val="2"/>
          <order val="2"/>
          <tx>
            <strRef>
              <f>'Bridge'!F4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'Bridge'!$B$5:$B$9</f>
            </numRef>
          </cat>
          <val>
            <numRef>
              <f>'Bridge'!$F$5:$F$9</f>
            </numRef>
          </val>
        </ser>
        <ser>
          <idx val="3"/>
          <order val="3"/>
          <tx>
            <strRef>
              <f>'Bridge'!G4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prstDash val="solid"/>
            </a:ln>
          </spPr>
          <cat>
            <numRef>
              <f>'Bridge'!$B$5:$B$9</f>
            </numRef>
          </cat>
          <val>
            <numRef>
              <f>'Bridge'!$G$5:$G$9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Tornado: change in NPV (EURm)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'Sensitivity'!D47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'Sensitivity'!$C$48:$C$57</f>
            </numRef>
          </cat>
          <val>
            <numRef>
              <f>'Sensitivity'!$D$48:$D$57</f>
            </numRef>
          </val>
        </ser>
        <ser>
          <idx val="1"/>
          <order val="1"/>
          <tx>
            <strRef>
              <f>'Sensitivity'!E47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'Sensitivity'!$C$48:$C$57</f>
            </numRef>
          </cat>
          <val>
            <numRef>
              <f>'Sensitivity'!$E$48:$E$57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66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66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20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34" customWidth="1" min="2" max="2"/>
    <col width="110" customWidth="1" min="3" max="3"/>
  </cols>
  <sheetData>
    <row r="2">
      <c r="B2" s="1" t="inlineStr">
        <is>
          <t>Example Co - three-pillar impact model (TEMPLATE: replace every input)</t>
        </is>
      </c>
    </row>
    <row r="4">
      <c r="B4" s="2" t="inlineStr">
        <is>
          <t>Company</t>
        </is>
      </c>
      <c r="C4" t="inlineStr">
        <is>
          <t>Example Co (illustrative)</t>
        </is>
      </c>
    </row>
    <row r="5">
      <c r="B5" s="2" t="inlineStr">
        <is>
          <t>Currency / units</t>
        </is>
      </c>
      <c r="C5" t="inlineStr">
        <is>
          <t>EURm</t>
        </is>
      </c>
    </row>
    <row r="6">
      <c r="B6" s="2" t="inlineStr">
        <is>
          <t>Timeline</t>
        </is>
      </c>
      <c r="C6" t="inlineStr">
        <is>
          <t>2020-2024 actuals, 2025-2029 projection</t>
        </is>
      </c>
    </row>
    <row r="7">
      <c r="B7" s="2" t="inlineStr">
        <is>
          <t>Objective</t>
        </is>
      </c>
      <c r="C7" t="inlineStr">
        <is>
          <t>revenue growth</t>
        </is>
      </c>
    </row>
    <row r="8">
      <c r="B8" s="2" t="inlineStr">
        <is>
          <t>Prepared by</t>
        </is>
      </c>
      <c r="C8" t="inlineStr">
        <is>
          <t>Team name</t>
        </is>
      </c>
    </row>
    <row r="9">
      <c r="B9" s="2" t="inlineStr">
        <is>
          <t>As of</t>
        </is>
      </c>
      <c r="C9" t="inlineStr">
        <is>
          <t>2026-01-01</t>
        </is>
      </c>
    </row>
    <row r="10">
      <c r="B10" s="2" t="inlineStr"/>
      <c r="C10" t="inlineStr"/>
    </row>
    <row r="11">
      <c r="B11" s="2" t="inlineStr">
        <is>
          <t>How to read</t>
        </is>
      </c>
      <c r="C11" t="inlineStr">
        <is>
          <t>Inputs -&gt; Calculations -&gt; Outputs / Bridge / Sensitivity; Checks must show 0 errors.</t>
        </is>
      </c>
    </row>
    <row r="12">
      <c r="B12" s="2" t="inlineStr">
        <is>
          <t>Colours</t>
        </is>
      </c>
      <c r="C12" t="inlineStr">
        <is>
          <t>Blue on yellow = typed input (Inputs, Actuals). Orange = Sensitivity control. Green = headline output. Everything else is a formula.</t>
        </is>
      </c>
    </row>
    <row r="13">
      <c r="B13" s="2" t="inlineStr">
        <is>
          <t>Grades</t>
        </is>
      </c>
      <c r="C13" t="inlineStr">
        <is>
          <t>Source reliability A (reliable) - F (cannot judge); information credibility 1 (confirmed) - 6 (cannot judge). Every input carries one.</t>
        </is>
      </c>
    </row>
    <row r="14">
      <c r="B14" s="2" t="inlineStr">
        <is>
          <t>Scenarios</t>
        </is>
      </c>
      <c r="C14" t="inlineStr">
        <is>
          <t>Low/Base/High move every ranged input to its pessimistic/optimistic end (polarity aware).</t>
        </is>
      </c>
    </row>
    <row r="15">
      <c r="B15" s="2" t="inlineStr">
        <is>
          <t>Recalculate</t>
        </is>
      </c>
      <c r="C15" t="inlineStr">
        <is>
          <t>Excel recalculates on open. Data Tables: Formulas &gt; Calculation Options &gt; Automatic.</t>
        </is>
      </c>
    </row>
    <row r="16">
      <c r="B16" s="2" t="inlineStr">
        <is>
          <t>Independent check</t>
        </is>
      </c>
      <c r="C16" t="inlineStr">
        <is>
          <t>python scripts/check_model.py &lt;this file&gt;  (must pass every check)</t>
        </is>
      </c>
    </row>
    <row r="17">
      <c r="B17" s="2" t="inlineStr">
        <is>
          <t>History</t>
        </is>
      </c>
      <c r="C17" t="inlineStr">
        <is>
          <t>3 reported series on Actuals; growth, CAGR, quartiles and margins in Calculations section 0. 2 inputs take their value from history (cust0, cust_g). Baseline growth is checked against the historical band (Checks).</t>
        </is>
      </c>
    </row>
    <row r="19">
      <c r="B19" s="2" t="inlineStr">
        <is>
          <t>Headline: the case objectives in 2029 (base case = do nothing)</t>
        </is>
      </c>
    </row>
    <row r="20">
      <c r="B20" s="3" t="inlineStr">
        <is>
          <t>KPI</t>
        </is>
      </c>
      <c r="C20" s="3" t="inlineStr">
        <is>
          <t>Base case</t>
        </is>
      </c>
      <c r="D20" s="3" t="inlineStr">
        <is>
          <t>With strategies</t>
        </is>
      </c>
      <c r="E20" s="3" t="inlineStr">
        <is>
          <t>Change</t>
        </is>
      </c>
      <c r="F20" s="3" t="inlineStr">
        <is>
          <t>Better?</t>
        </is>
      </c>
    </row>
    <row r="21">
      <c r="B21" t="inlineStr">
        <is>
          <t>Revenue (EURm)</t>
        </is>
      </c>
      <c r="C21" s="4">
        <f>Objectives!E5</f>
        <v/>
      </c>
      <c r="D21" s="4">
        <f>Objectives!F5</f>
        <v/>
      </c>
      <c r="E21" s="4">
        <f>Objectives!G5</f>
        <v/>
      </c>
      <c r="F21" s="4">
        <f>Objectives!J5</f>
        <v/>
      </c>
    </row>
    <row r="22">
      <c r="B22" t="inlineStr">
        <is>
          <t>EBITDA (EURm)</t>
        </is>
      </c>
      <c r="C22" s="4">
        <f>Objectives!E6</f>
        <v/>
      </c>
      <c r="D22" s="4">
        <f>Objectives!F6</f>
        <v/>
      </c>
      <c r="E22" s="4">
        <f>Objectives!G6</f>
        <v/>
      </c>
      <c r="F22" s="4">
        <f>Objectives!J6</f>
        <v/>
      </c>
    </row>
    <row r="23">
      <c r="B23" t="inlineStr">
        <is>
          <t>EBITDA margin (pp)</t>
        </is>
      </c>
      <c r="C23" s="5">
        <f>Objectives!E7</f>
        <v/>
      </c>
      <c r="D23" s="5">
        <f>Objectives!F7</f>
        <v/>
      </c>
      <c r="E23" s="5">
        <f>Objectives!G7</f>
        <v/>
      </c>
      <c r="F23" s="5">
        <f>Objectives!J7</f>
        <v/>
      </c>
    </row>
    <row r="24">
      <c r="B24" t="inlineStr">
        <is>
          <t>Valuation (secondary)</t>
        </is>
      </c>
      <c r="C24" s="4">
        <f>Calculations!$E$172</f>
        <v/>
      </c>
      <c r="D24" t="inlineStr">
        <is>
          <t>NPV in EURm; see Outputs. Breakdown through the consulting frameworks: Frameworks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12" customWidth="1" min="4" max="4"/>
    <col width="15" customWidth="1" min="5" max="5"/>
    <col width="15" customWidth="1" min="6" max="6"/>
    <col width="15" customWidth="1" min="7" max="7"/>
    <col width="12" customWidth="1" min="8" max="8"/>
    <col width="18" customWidth="1" min="9" max="9"/>
    <col width="10" customWidth="1" min="10" max="10"/>
  </cols>
  <sheetData>
    <row r="1">
      <c r="B1" s="6" t="inlineStr">
        <is>
          <t>Case objectives - how the strategies move them</t>
        </is>
      </c>
    </row>
    <row r="2">
      <c r="B2" s="7" t="inlineStr">
        <is>
          <t>Base case = do nothing. Change = with strategies minus base case, in 2029 and summed over 2025-2029. All cells link to Calculations section 10.</t>
        </is>
      </c>
    </row>
    <row r="4">
      <c r="B4" s="3" t="inlineStr">
        <is>
          <t>Objective</t>
        </is>
      </c>
      <c r="C4" s="3" t="inlineStr">
        <is>
          <t>KPI</t>
        </is>
      </c>
      <c r="D4" s="3" t="inlineStr">
        <is>
          <t>Unit</t>
        </is>
      </c>
      <c r="E4" s="3" t="inlineStr">
        <is>
          <t>Base case 2029</t>
        </is>
      </c>
      <c r="F4" s="3" t="inlineStr">
        <is>
          <t>With strategies 2029</t>
        </is>
      </c>
      <c r="G4" s="3" t="inlineStr">
        <is>
          <t>Change 2029</t>
        </is>
      </c>
      <c r="H4" s="3" t="inlineStr">
        <is>
          <t>Change %</t>
        </is>
      </c>
      <c r="I4" s="3" t="inlineStr">
        <is>
          <t>Cumulative change 2025-2029</t>
        </is>
      </c>
      <c r="J4" s="3" t="inlineStr">
        <is>
          <t>Better?</t>
        </is>
      </c>
    </row>
    <row r="5">
      <c r="B5" t="inlineStr">
        <is>
          <t>Profit: Revenue growth</t>
        </is>
      </c>
      <c r="C5" t="inlineStr">
        <is>
          <t>Revenue</t>
        </is>
      </c>
      <c r="D5" t="inlineStr">
        <is>
          <t>EURm</t>
        </is>
      </c>
      <c r="E5" s="8">
        <f>Calculations!$E$209</f>
        <v/>
      </c>
      <c r="F5" s="8">
        <f>Calculations!$E$210</f>
        <v/>
      </c>
      <c r="G5" s="8">
        <f>Calculations!$E$211</f>
        <v/>
      </c>
      <c r="H5" s="5">
        <f>IF(E5=0,"n/a",G5/ABS(E5))</f>
        <v/>
      </c>
      <c r="I5" s="4">
        <f>Calculations!$E$212</f>
        <v/>
      </c>
      <c r="J5">
        <f>IF(G5=0,"no change",IF(G5&gt;0,"better","worse"))</f>
        <v/>
      </c>
    </row>
    <row r="6">
      <c r="B6" t="inlineStr">
        <is>
          <t>Profit: Profitability</t>
        </is>
      </c>
      <c r="C6" t="inlineStr">
        <is>
          <t>EBITDA</t>
        </is>
      </c>
      <c r="D6" t="inlineStr">
        <is>
          <t>EURm</t>
        </is>
      </c>
      <c r="E6" s="8">
        <f>Calculations!$E$213</f>
        <v/>
      </c>
      <c r="F6" s="8">
        <f>Calculations!$E$214</f>
        <v/>
      </c>
      <c r="G6" s="8">
        <f>Calculations!$E$215</f>
        <v/>
      </c>
      <c r="H6" s="5">
        <f>IF(E6=0,"n/a",G6/ABS(E6))</f>
        <v/>
      </c>
      <c r="I6" s="4">
        <f>Calculations!$E$216</f>
        <v/>
      </c>
      <c r="J6">
        <f>IF(G6=0,"no change",IF(G6&gt;0,"better","worse"))</f>
        <v/>
      </c>
    </row>
    <row r="7">
      <c r="B7" t="inlineStr">
        <is>
          <t>Profit: Profitability</t>
        </is>
      </c>
      <c r="C7" t="inlineStr">
        <is>
          <t>EBITDA margin</t>
        </is>
      </c>
      <c r="D7" t="inlineStr">
        <is>
          <t>pp</t>
        </is>
      </c>
      <c r="E7" s="9">
        <f>Calculations!$E$217</f>
        <v/>
      </c>
      <c r="F7" s="9">
        <f>Calculations!$E$218</f>
        <v/>
      </c>
      <c r="G7" s="9">
        <f>Calculations!$E$219</f>
        <v/>
      </c>
      <c r="H7" s="5" t="inlineStr"/>
      <c r="J7">
        <f>IF(G7=0,"no change",IF(G7&gt;0,"better","worse"))</f>
        <v/>
      </c>
    </row>
    <row r="9">
      <c r="B9" s="2" t="inlineStr">
        <is>
          <t>Contribution of each strategy to the change in 2029 (vs base case)</t>
        </is>
      </c>
    </row>
    <row r="10">
      <c r="B10" s="3" t="inlineStr">
        <is>
          <t>Pillar</t>
        </is>
      </c>
      <c r="C10" s="3" t="inlineStr">
        <is>
          <t>Strategy</t>
        </is>
      </c>
      <c r="D10" s="3" t="inlineStr">
        <is>
          <t>Revenue (EURm)</t>
        </is>
      </c>
      <c r="E10" s="3" t="inlineStr">
        <is>
          <t>EBITDA (EURm)</t>
        </is>
      </c>
    </row>
    <row r="11">
      <c r="B11" t="inlineStr">
        <is>
          <t>Pillar A</t>
        </is>
      </c>
      <c r="C11" t="inlineStr">
        <is>
          <t>Initiative A1</t>
        </is>
      </c>
      <c r="D11" s="4">
        <f>Calculations!P125</f>
        <v/>
      </c>
      <c r="E11" s="4">
        <f>Calculations!P149</f>
        <v/>
      </c>
    </row>
    <row r="12">
      <c r="B12" t="inlineStr">
        <is>
          <t>Pillar B</t>
        </is>
      </c>
      <c r="C12" t="inlineStr">
        <is>
          <t>Initiative B1</t>
        </is>
      </c>
      <c r="D12" s="4">
        <f>Calculations!P126</f>
        <v/>
      </c>
      <c r="E12" s="4">
        <f>Calculations!P150</f>
        <v/>
      </c>
    </row>
    <row r="13">
      <c r="B13" t="inlineStr">
        <is>
          <t>Pillar C</t>
        </is>
      </c>
      <c r="C13" t="inlineStr">
        <is>
          <t>Initiative C1</t>
        </is>
      </c>
      <c r="D13" s="4">
        <f>Calculations!P127</f>
        <v/>
      </c>
      <c r="E13" s="4">
        <f>Calculations!P151</f>
        <v/>
      </c>
    </row>
    <row r="14">
      <c r="B14" s="2" t="inlineStr">
        <is>
          <t>Total</t>
        </is>
      </c>
      <c r="D14" s="10">
        <f>SUM(D11:D13)</f>
        <v/>
      </c>
      <c r="E14" s="10">
        <f>SUM(E11:E13)</f>
        <v/>
      </c>
    </row>
    <row r="16">
      <c r="B16" s="2" t="inlineStr">
        <is>
          <t>By pillar (change in 2029 vs base case)</t>
        </is>
      </c>
    </row>
    <row r="17">
      <c r="B17" s="3" t="inlineStr">
        <is>
          <t>Pillar</t>
        </is>
      </c>
      <c r="C17" s="3" t="inlineStr"/>
      <c r="D17" s="3" t="inlineStr">
        <is>
          <t>Revenue (EURm)</t>
        </is>
      </c>
      <c r="E17" s="3" t="inlineStr">
        <is>
          <t>EBITDA (EURm)</t>
        </is>
      </c>
    </row>
    <row r="18">
      <c r="B18" t="inlineStr">
        <is>
          <t>Pillar A</t>
        </is>
      </c>
      <c r="D18" s="4">
        <f>D11</f>
        <v/>
      </c>
      <c r="E18" s="4">
        <f>E11</f>
        <v/>
      </c>
    </row>
    <row r="19">
      <c r="B19" t="inlineStr">
        <is>
          <t>Pillar B</t>
        </is>
      </c>
      <c r="D19" s="4">
        <f>D12</f>
        <v/>
      </c>
      <c r="E19" s="4">
        <f>E12</f>
        <v/>
      </c>
    </row>
    <row r="20">
      <c r="B20" t="inlineStr">
        <is>
          <t>Pillar C</t>
        </is>
      </c>
      <c r="D20" s="4">
        <f>D13</f>
        <v/>
      </c>
      <c r="E20" s="4">
        <f>E13</f>
        <v/>
      </c>
    </row>
    <row r="21">
      <c r="B21" s="2" t="inlineStr">
        <is>
          <t>Total</t>
        </is>
      </c>
      <c r="D21" s="4">
        <f>SUM(D18:D20)</f>
        <v/>
      </c>
      <c r="E21" s="4">
        <f>SUM(E18:E20)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74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</cols>
  <sheetData>
    <row r="1">
      <c r="B1" s="6" t="inlineStr">
        <is>
          <t>The impact through the consulting frameworks</t>
        </is>
      </c>
    </row>
    <row r="2">
      <c r="B2" s="7" t="inlineStr">
        <is>
          <t>Each view splits the same change vs the base case (2029; revenue summed over 2025-2029); every view adds up to the strategy total (Checks).</t>
        </is>
      </c>
    </row>
    <row r="4">
      <c r="B4" s="11" t="inlineStr">
        <is>
          <t>1. Triple bottom line (Elkington): profit, planet and people by pillar</t>
        </is>
      </c>
    </row>
    <row r="5">
      <c r="B5" s="7" t="inlineStr">
        <is>
          <t>Rows are the team's pillars; columns are the case objectives.</t>
        </is>
      </c>
    </row>
    <row r="6">
      <c r="B6" s="3" t="inlineStr">
        <is>
          <t>Category</t>
        </is>
      </c>
      <c r="C6" s="3" t="inlineStr">
        <is>
          <t>Cumulative incremental revenue (EURm)</t>
        </is>
      </c>
      <c r="D6" s="3" t="inlineStr">
        <is>
          <t>Profit: Revenue 2029 (EURm)</t>
        </is>
      </c>
      <c r="E6" s="3" t="inlineStr">
        <is>
          <t>Profit: EBITDA 2029 (EURm)</t>
        </is>
      </c>
      <c r="F6" s="3" t="inlineStr">
        <is>
          <t>Strategies</t>
        </is>
      </c>
    </row>
    <row r="7">
      <c r="B7" t="inlineStr">
        <is>
          <t>Pillar A</t>
        </is>
      </c>
      <c r="C7" s="4">
        <f>SUM(Calculations!L125:P125)</f>
        <v/>
      </c>
      <c r="D7" s="4">
        <f>Calculations!P125</f>
        <v/>
      </c>
      <c r="E7" s="4">
        <f>Calculations!P149</f>
        <v/>
      </c>
      <c r="F7" t="inlineStr">
        <is>
          <t>Initiative A1</t>
        </is>
      </c>
    </row>
    <row r="8">
      <c r="B8" t="inlineStr">
        <is>
          <t>Pillar B</t>
        </is>
      </c>
      <c r="C8" s="4">
        <f>SUM(Calculations!L126:P126)</f>
        <v/>
      </c>
      <c r="D8" s="4">
        <f>Calculations!P126</f>
        <v/>
      </c>
      <c r="E8" s="4">
        <f>Calculations!P150</f>
        <v/>
      </c>
      <c r="F8" t="inlineStr">
        <is>
          <t>Initiative B1</t>
        </is>
      </c>
    </row>
    <row r="9">
      <c r="B9" t="inlineStr">
        <is>
          <t>Pillar C</t>
        </is>
      </c>
      <c r="C9" s="4">
        <f>SUM(Calculations!L127:P127)</f>
        <v/>
      </c>
      <c r="D9" s="4">
        <f>Calculations!P127</f>
        <v/>
      </c>
      <c r="E9" s="4">
        <f>Calculations!P151</f>
        <v/>
      </c>
      <c r="F9" t="inlineStr">
        <is>
          <t>Initiative C1</t>
        </is>
      </c>
    </row>
    <row r="10">
      <c r="B10" s="2" t="inlineStr">
        <is>
          <t>Total</t>
        </is>
      </c>
      <c r="C10" s="4">
        <f>SUM(C7:C9)</f>
        <v/>
      </c>
      <c r="D10" s="4">
        <f>SUM(D7:D9)</f>
        <v/>
      </c>
      <c r="E10" s="4">
        <f>SUM(E7:E9)</f>
        <v/>
      </c>
    </row>
    <row r="13">
      <c r="B13" s="11" t="inlineStr">
        <is>
          <t>2. Profitability tree: where the change in EBITDA comes from (2029)</t>
        </is>
      </c>
    </row>
    <row r="14">
      <c r="B14" s="7" t="inlineStr">
        <is>
          <t>Profit = (volume x price) x margin - costs. Each strategy's effect, split by the lever it pulls.</t>
        </is>
      </c>
    </row>
    <row r="15">
      <c r="B15" s="3" t="inlineStr">
        <is>
          <t>Lever</t>
        </is>
      </c>
      <c r="C15" s="3" t="inlineStr">
        <is>
          <t>EBITDA change 2029 (EURm)</t>
        </is>
      </c>
      <c r="D15" s="3" t="inlineStr">
        <is>
          <t>Strategies</t>
        </is>
      </c>
    </row>
    <row r="16">
      <c r="B16" t="inlineStr">
        <is>
          <t>Revenue: more volume (customers, visits, occupancy), after variable costs</t>
        </is>
      </c>
      <c r="C16" s="4">
        <f>Calculations!P125*Calculations!$E$49+Calculations!P126*Calculations!$E$49</f>
        <v/>
      </c>
      <c r="D16" t="inlineStr">
        <is>
          <t>Initiative A1, Initiative B1</t>
        </is>
      </c>
    </row>
    <row r="17">
      <c r="B17" t="inlineStr">
        <is>
          <t>Revenue: higher price or spend per unit, after variable costs</t>
        </is>
      </c>
      <c r="C17" s="4">
        <f>Calculations!P127*Calculations!$E$49</f>
        <v/>
      </c>
      <c r="D17" t="inlineStr">
        <is>
          <t>Initiative C1</t>
        </is>
      </c>
    </row>
    <row r="18">
      <c r="B18" t="inlineStr">
        <is>
          <t>Revenue: new streams (volume x price of a new offer), after variable costs</t>
        </is>
      </c>
      <c r="C18" s="4">
        <f>0</f>
        <v/>
      </c>
      <c r="D18" t="inlineStr">
        <is>
          <t>-</t>
        </is>
      </c>
    </row>
    <row r="19">
      <c r="B19" t="inlineStr">
        <is>
          <t>Cost: savings (cost avoided)</t>
        </is>
      </c>
      <c r="C19" s="4">
        <f>0</f>
        <v/>
      </c>
      <c r="D19" t="inlineStr">
        <is>
          <t>-</t>
        </is>
      </c>
    </row>
    <row r="20">
      <c r="B20" t="inlineStr">
        <is>
          <t>Cost: operating cost added by the strategies</t>
        </is>
      </c>
      <c r="C20" s="4">
        <f>-Calculations!P137-Calculations!P138</f>
        <v/>
      </c>
      <c r="D20" t="inlineStr">
        <is>
          <t>Initiative A1, Initiative C1</t>
        </is>
      </c>
    </row>
    <row r="21">
      <c r="B21" s="2" t="inlineStr">
        <is>
          <t>Total</t>
        </is>
      </c>
      <c r="C21" s="4">
        <f>SUM(C16:C20)</f>
        <v/>
      </c>
    </row>
    <row r="24">
      <c r="B24" s="11" t="inlineStr">
        <is>
          <t>3. Ansoff matrix: growth vector</t>
        </is>
      </c>
    </row>
    <row r="25">
      <c r="B25" s="7" t="inlineStr">
        <is>
          <t>Where the growth comes from: existing or new products and markets; efficiency moves cost, not growth.</t>
        </is>
      </c>
    </row>
    <row r="26">
      <c r="B26" s="3" t="inlineStr">
        <is>
          <t>Category</t>
        </is>
      </c>
      <c r="C26" s="3" t="inlineStr">
        <is>
          <t>Cumulative incremental revenue (EURm)</t>
        </is>
      </c>
      <c r="D26" s="3" t="inlineStr">
        <is>
          <t>Profit: Revenue 2029 (EURm)</t>
        </is>
      </c>
      <c r="E26" s="3" t="inlineStr">
        <is>
          <t>Profit: EBITDA 2029 (EURm)</t>
        </is>
      </c>
      <c r="F26" s="3" t="inlineStr">
        <is>
          <t>Strategies</t>
        </is>
      </c>
    </row>
    <row r="27">
      <c r="B27" t="inlineStr">
        <is>
          <t>Existing products, existing markets (selling more into today's market)</t>
        </is>
      </c>
      <c r="C27" s="4">
        <f>SUM(Calculations!L125:P125)+SUM(Calculations!L126:P126)+SUM(Calculations!L127:P127)</f>
        <v/>
      </c>
      <c r="D27" s="4">
        <f>Calculations!P125+Calculations!P126+Calculations!P127</f>
        <v/>
      </c>
      <c r="E27" s="4">
        <f>Calculations!P149+Calculations!P150+Calculations!P151</f>
        <v/>
      </c>
      <c r="F27" t="inlineStr">
        <is>
          <t>Initiative A1, Initiative B1, Initiative C1</t>
        </is>
      </c>
    </row>
    <row r="28">
      <c r="B28" t="inlineStr">
        <is>
          <t>New products, existing markets (product development)</t>
        </is>
      </c>
      <c r="C28" s="4">
        <f>0</f>
        <v/>
      </c>
      <c r="D28" s="4">
        <f>0</f>
        <v/>
      </c>
      <c r="E28" s="4">
        <f>0</f>
        <v/>
      </c>
      <c r="F28" t="inlineStr">
        <is>
          <t>-</t>
        </is>
      </c>
    </row>
    <row r="29">
      <c r="B29" t="inlineStr">
        <is>
          <t>Existing products, new markets (market development)</t>
        </is>
      </c>
      <c r="C29" s="4">
        <f>0</f>
        <v/>
      </c>
      <c r="D29" s="4">
        <f>0</f>
        <v/>
      </c>
      <c r="E29" s="4">
        <f>0</f>
        <v/>
      </c>
      <c r="F29" t="inlineStr">
        <is>
          <t>-</t>
        </is>
      </c>
    </row>
    <row r="30">
      <c r="B30" t="inlineStr">
        <is>
          <t>New products, new markets (diversification)</t>
        </is>
      </c>
      <c r="C30" s="4">
        <f>0</f>
        <v/>
      </c>
      <c r="D30" s="4">
        <f>0</f>
        <v/>
      </c>
      <c r="E30" s="4">
        <f>0</f>
        <v/>
      </c>
      <c r="F30" t="inlineStr">
        <is>
          <t>-</t>
        </is>
      </c>
    </row>
    <row r="31">
      <c r="B31" t="inlineStr">
        <is>
          <t>Efficiency (cost and resources)</t>
        </is>
      </c>
      <c r="C31" s="4">
        <f>0</f>
        <v/>
      </c>
      <c r="D31" s="4">
        <f>0</f>
        <v/>
      </c>
      <c r="E31" s="4">
        <f>0</f>
        <v/>
      </c>
      <c r="F31" t="inlineStr">
        <is>
          <t>-</t>
        </is>
      </c>
    </row>
    <row r="32">
      <c r="B32" s="2" t="inlineStr">
        <is>
          <t>Total</t>
        </is>
      </c>
      <c r="C32" s="4">
        <f>SUM(C27:C31)</f>
        <v/>
      </c>
      <c r="D32" s="4">
        <f>SUM(D27:D31)</f>
        <v/>
      </c>
      <c r="E32" s="4">
        <f>SUM(E27:E31)</f>
        <v/>
      </c>
    </row>
    <row r="35">
      <c r="B35" s="11" t="inlineStr">
        <is>
          <t>4. Marketing mix (4Ps)</t>
        </is>
      </c>
    </row>
    <row r="36">
      <c r="B36" s="7" t="inlineStr">
        <is>
          <t>Which marketing lever each strategy pulls.</t>
        </is>
      </c>
    </row>
    <row r="37">
      <c r="B37" s="3" t="inlineStr">
        <is>
          <t>Category</t>
        </is>
      </c>
      <c r="C37" s="3" t="inlineStr">
        <is>
          <t>Cumulative incremental revenue (EURm)</t>
        </is>
      </c>
      <c r="D37" s="3" t="inlineStr">
        <is>
          <t>Profit: Revenue 2029 (EURm)</t>
        </is>
      </c>
      <c r="E37" s="3" t="inlineStr">
        <is>
          <t>Profit: EBITDA 2029 (EURm)</t>
        </is>
      </c>
      <c r="F37" s="3" t="inlineStr">
        <is>
          <t>Strategies</t>
        </is>
      </c>
    </row>
    <row r="38">
      <c r="B38" t="inlineStr">
        <is>
          <t>Price</t>
        </is>
      </c>
      <c r="C38" s="4">
        <f>SUM(Calculations!L127:P127)</f>
        <v/>
      </c>
      <c r="D38" s="4">
        <f>Calculations!P127</f>
        <v/>
      </c>
      <c r="E38" s="4">
        <f>Calculations!P151</f>
        <v/>
      </c>
      <c r="F38" t="inlineStr">
        <is>
          <t>Initiative C1</t>
        </is>
      </c>
    </row>
    <row r="39">
      <c r="B39" t="inlineStr">
        <is>
          <t>Product</t>
        </is>
      </c>
      <c r="C39" s="4">
        <f>0</f>
        <v/>
      </c>
      <c r="D39" s="4">
        <f>0</f>
        <v/>
      </c>
      <c r="E39" s="4">
        <f>0</f>
        <v/>
      </c>
      <c r="F39" t="inlineStr">
        <is>
          <t>-</t>
        </is>
      </c>
    </row>
    <row r="40">
      <c r="B40" t="inlineStr">
        <is>
          <t>Place (channel)</t>
        </is>
      </c>
      <c r="C40" s="4">
        <f>0</f>
        <v/>
      </c>
      <c r="D40" s="4">
        <f>0</f>
        <v/>
      </c>
      <c r="E40" s="4">
        <f>0</f>
        <v/>
      </c>
      <c r="F40" t="inlineStr">
        <is>
          <t>-</t>
        </is>
      </c>
    </row>
    <row r="41">
      <c r="B41" t="inlineStr">
        <is>
          <t>Promotion</t>
        </is>
      </c>
      <c r="C41" s="4">
        <f>0</f>
        <v/>
      </c>
      <c r="D41" s="4">
        <f>0</f>
        <v/>
      </c>
      <c r="E41" s="4">
        <f>0</f>
        <v/>
      </c>
      <c r="F41" t="inlineStr">
        <is>
          <t>-</t>
        </is>
      </c>
    </row>
    <row r="42">
      <c r="B42" t="inlineStr">
        <is>
          <t>Not a marketing-mix lever (cost, operations)</t>
        </is>
      </c>
      <c r="C42" s="4">
        <f>0</f>
        <v/>
      </c>
      <c r="D42" s="4">
        <f>0</f>
        <v/>
      </c>
      <c r="E42" s="4">
        <f>0</f>
        <v/>
      </c>
      <c r="F42" t="inlineStr">
        <is>
          <t>-</t>
        </is>
      </c>
    </row>
    <row r="43">
      <c r="B43" t="inlineStr">
        <is>
          <t>Not tagged (set frameworks.&lt;lens&gt; on the initiative)</t>
        </is>
      </c>
      <c r="C43" s="4">
        <f>SUM(Calculations!L125:P125)+SUM(Calculations!L126:P126)</f>
        <v/>
      </c>
      <c r="D43" s="4">
        <f>Calculations!P125+Calculations!P126</f>
        <v/>
      </c>
      <c r="E43" s="4">
        <f>Calculations!P149+Calculations!P150</f>
        <v/>
      </c>
      <c r="F43" t="inlineStr">
        <is>
          <t>Initiative A1, Initiative B1</t>
        </is>
      </c>
    </row>
    <row r="44">
      <c r="B44" s="2" t="inlineStr">
        <is>
          <t>Total</t>
        </is>
      </c>
      <c r="C44" s="4">
        <f>SUM(C38:C43)</f>
        <v/>
      </c>
      <c r="D44" s="4">
        <f>SUM(D38:D43)</f>
        <v/>
      </c>
      <c r="E44" s="4">
        <f>SUM(E38:E43)</f>
        <v/>
      </c>
    </row>
    <row r="47">
      <c r="B47" s="11" t="inlineStr">
        <is>
          <t>5. Value chain (Porter)</t>
        </is>
      </c>
    </row>
    <row r="48">
      <c r="B48" s="7" t="inlineStr">
        <is>
          <t>Which activity of the business each strategy changes.</t>
        </is>
      </c>
    </row>
    <row r="49">
      <c r="B49" s="3" t="inlineStr">
        <is>
          <t>Category</t>
        </is>
      </c>
      <c r="C49" s="3" t="inlineStr">
        <is>
          <t>Cumulative incremental revenue (EURm)</t>
        </is>
      </c>
      <c r="D49" s="3" t="inlineStr">
        <is>
          <t>Profit: Revenue 2029 (EURm)</t>
        </is>
      </c>
      <c r="E49" s="3" t="inlineStr">
        <is>
          <t>Profit: EBITDA 2029 (EURm)</t>
        </is>
      </c>
      <c r="F49" s="3" t="inlineStr">
        <is>
          <t>Strategies</t>
        </is>
      </c>
    </row>
    <row r="50">
      <c r="B50" t="inlineStr">
        <is>
          <t>Inbound logistics</t>
        </is>
      </c>
      <c r="C50" s="4">
        <f>0</f>
        <v/>
      </c>
      <c r="D50" s="4">
        <f>0</f>
        <v/>
      </c>
      <c r="E50" s="4">
        <f>0</f>
        <v/>
      </c>
      <c r="F50" t="inlineStr">
        <is>
          <t>-</t>
        </is>
      </c>
    </row>
    <row r="51">
      <c r="B51" t="inlineStr">
        <is>
          <t>Operations</t>
        </is>
      </c>
      <c r="C51" s="4">
        <f>0</f>
        <v/>
      </c>
      <c r="D51" s="4">
        <f>0</f>
        <v/>
      </c>
      <c r="E51" s="4">
        <f>0</f>
        <v/>
      </c>
      <c r="F51" t="inlineStr">
        <is>
          <t>-</t>
        </is>
      </c>
    </row>
    <row r="52">
      <c r="B52" t="inlineStr">
        <is>
          <t>Outbound logistics</t>
        </is>
      </c>
      <c r="C52" s="4">
        <f>0</f>
        <v/>
      </c>
      <c r="D52" s="4">
        <f>0</f>
        <v/>
      </c>
      <c r="E52" s="4">
        <f>0</f>
        <v/>
      </c>
      <c r="F52" t="inlineStr">
        <is>
          <t>-</t>
        </is>
      </c>
    </row>
    <row r="53">
      <c r="B53" t="inlineStr">
        <is>
          <t>Marketing &amp; sales</t>
        </is>
      </c>
      <c r="C53" s="4">
        <f>0</f>
        <v/>
      </c>
      <c r="D53" s="4">
        <f>0</f>
        <v/>
      </c>
      <c r="E53" s="4">
        <f>0</f>
        <v/>
      </c>
      <c r="F53" t="inlineStr">
        <is>
          <t>-</t>
        </is>
      </c>
    </row>
    <row r="54">
      <c r="B54" t="inlineStr">
        <is>
          <t>Service</t>
        </is>
      </c>
      <c r="C54" s="4">
        <f>0</f>
        <v/>
      </c>
      <c r="D54" s="4">
        <f>0</f>
        <v/>
      </c>
      <c r="E54" s="4">
        <f>0</f>
        <v/>
      </c>
      <c r="F54" t="inlineStr">
        <is>
          <t>-</t>
        </is>
      </c>
    </row>
    <row r="55">
      <c r="B55" t="inlineStr">
        <is>
          <t>Procurement</t>
        </is>
      </c>
      <c r="C55" s="4">
        <f>0</f>
        <v/>
      </c>
      <c r="D55" s="4">
        <f>0</f>
        <v/>
      </c>
      <c r="E55" s="4">
        <f>0</f>
        <v/>
      </c>
      <c r="F55" t="inlineStr">
        <is>
          <t>-</t>
        </is>
      </c>
    </row>
    <row r="56">
      <c r="B56" t="inlineStr">
        <is>
          <t>Technology development</t>
        </is>
      </c>
      <c r="C56" s="4">
        <f>0</f>
        <v/>
      </c>
      <c r="D56" s="4">
        <f>0</f>
        <v/>
      </c>
      <c r="E56" s="4">
        <f>0</f>
        <v/>
      </c>
      <c r="F56" t="inlineStr">
        <is>
          <t>-</t>
        </is>
      </c>
    </row>
    <row r="57">
      <c r="B57" t="inlineStr">
        <is>
          <t>Human resource management</t>
        </is>
      </c>
      <c r="C57" s="4">
        <f>0</f>
        <v/>
      </c>
      <c r="D57" s="4">
        <f>0</f>
        <v/>
      </c>
      <c r="E57" s="4">
        <f>0</f>
        <v/>
      </c>
      <c r="F57" t="inlineStr">
        <is>
          <t>-</t>
        </is>
      </c>
    </row>
    <row r="58">
      <c r="B58" t="inlineStr">
        <is>
          <t>Firm infrastructure</t>
        </is>
      </c>
      <c r="C58" s="4">
        <f>0</f>
        <v/>
      </c>
      <c r="D58" s="4">
        <f>0</f>
        <v/>
      </c>
      <c r="E58" s="4">
        <f>0</f>
        <v/>
      </c>
      <c r="F58" t="inlineStr">
        <is>
          <t>-</t>
        </is>
      </c>
    </row>
    <row r="59">
      <c r="B59" t="inlineStr">
        <is>
          <t>Not tagged (set frameworks.&lt;lens&gt; on the initiative)</t>
        </is>
      </c>
      <c r="C59" s="4">
        <f>SUM(Calculations!L125:P125)+SUM(Calculations!L126:P126)+SUM(Calculations!L127:P127)</f>
        <v/>
      </c>
      <c r="D59" s="4">
        <f>Calculations!P125+Calculations!P126+Calculations!P127</f>
        <v/>
      </c>
      <c r="E59" s="4">
        <f>Calculations!P149+Calculations!P150+Calculations!P151</f>
        <v/>
      </c>
      <c r="F59" t="inlineStr">
        <is>
          <t>Initiative A1, Initiative B1, Initiative C1</t>
        </is>
      </c>
    </row>
    <row r="60">
      <c r="B60" s="2" t="inlineStr">
        <is>
          <t>Total</t>
        </is>
      </c>
      <c r="C60" s="4">
        <f>SUM(C50:C59)</f>
        <v/>
      </c>
      <c r="D60" s="4">
        <f>SUM(D50:D59)</f>
        <v/>
      </c>
      <c r="E60" s="4">
        <f>SUM(E50:E59)</f>
        <v/>
      </c>
    </row>
    <row r="63">
      <c r="B63" s="11" t="inlineStr">
        <is>
          <t>6. Balanced scorecard: outcomes, customers, processes, enablers</t>
        </is>
      </c>
    </row>
    <row r="64">
      <c r="B64" s="7" t="inlineStr">
        <is>
          <t>Kaplan &amp; Norton's four perspectives; the financial perspective widened to the case objectives.</t>
        </is>
      </c>
    </row>
    <row r="65">
      <c r="B65" s="3" t="inlineStr">
        <is>
          <t>Perspective</t>
        </is>
      </c>
      <c r="C65" s="3" t="inlineStr">
        <is>
          <t>Measure</t>
        </is>
      </c>
      <c r="D65" s="3" t="inlineStr">
        <is>
          <t>Value</t>
        </is>
      </c>
      <c r="E65" s="3" t="inlineStr">
        <is>
          <t>Unit</t>
        </is>
      </c>
    </row>
    <row r="66">
      <c r="B66" t="inlineStr">
        <is>
          <t>Outcomes (case objectives)</t>
        </is>
      </c>
      <c r="C66" t="inlineStr">
        <is>
          <t>Revenue: change in 2029 vs base case</t>
        </is>
      </c>
      <c r="D66" s="4">
        <f>Calculations!$E$211</f>
        <v/>
      </c>
      <c r="E66" t="inlineStr">
        <is>
          <t>EURm</t>
        </is>
      </c>
    </row>
    <row r="67">
      <c r="B67" t="inlineStr">
        <is>
          <t>Outcomes (case objectives)</t>
        </is>
      </c>
      <c r="C67" t="inlineStr">
        <is>
          <t>EBITDA: change in 2029 vs base case</t>
        </is>
      </c>
      <c r="D67" s="4">
        <f>Calculations!$E$215</f>
        <v/>
      </c>
      <c r="E67" t="inlineStr">
        <is>
          <t>EURm</t>
        </is>
      </c>
    </row>
    <row r="68">
      <c r="B68" t="inlineStr">
        <is>
          <t>Outcomes (case objectives)</t>
        </is>
      </c>
      <c r="C68" t="inlineStr">
        <is>
          <t>EBITDA margin: change in 2029 vs base case</t>
        </is>
      </c>
      <c r="D68" s="5">
        <f>Calculations!$E$219</f>
        <v/>
      </c>
      <c r="E68" t="inlineStr">
        <is>
          <t>pp</t>
        </is>
      </c>
    </row>
    <row r="69">
      <c r="B69" t="inlineStr">
        <is>
          <t>Outcomes (case objectives)</t>
        </is>
      </c>
      <c r="C69" t="inlineStr">
        <is>
          <t>Valuation: NPV of the strategies</t>
        </is>
      </c>
      <c r="D69" s="4">
        <f>Calculations!$E$172</f>
        <v/>
      </c>
      <c r="E69" t="inlineStr">
        <is>
          <t>EURm</t>
        </is>
      </c>
    </row>
    <row r="70">
      <c r="B70" t="inlineStr">
        <is>
          <t>Customers</t>
        </is>
      </c>
      <c r="C70" t="inlineStr">
        <is>
          <t>Revenue from more customers or use, 2025-2029</t>
        </is>
      </c>
      <c r="D70" s="4">
        <f>SUM(Calculations!L125:P125)+SUM(Calculations!L126:P126)</f>
        <v/>
      </c>
      <c r="E70" t="inlineStr">
        <is>
          <t>EURm</t>
        </is>
      </c>
    </row>
    <row r="71">
      <c r="B71" t="inlineStr">
        <is>
          <t>Customers</t>
        </is>
      </c>
      <c r="C71" t="inlineStr">
        <is>
          <t>Revenue from new offers, 2025-2029</t>
        </is>
      </c>
      <c r="D71" s="4">
        <f>0</f>
        <v/>
      </c>
      <c r="E71" t="inlineStr">
        <is>
          <t>EURm</t>
        </is>
      </c>
    </row>
    <row r="72">
      <c r="B72" t="inlineStr">
        <is>
          <t>Internal processes</t>
        </is>
      </c>
      <c r="C72" t="inlineStr">
        <is>
          <t>Cost savings, 2025-2029</t>
        </is>
      </c>
      <c r="D72" s="4">
        <f>0</f>
        <v/>
      </c>
      <c r="E72" t="inlineStr">
        <is>
          <t>EURm</t>
        </is>
      </c>
    </row>
    <row r="73">
      <c r="B73" t="inlineStr">
        <is>
          <t>Learning &amp; growth (enablers)</t>
        </is>
      </c>
      <c r="C73" t="inlineStr">
        <is>
          <t>Capex invested, 2025-2029</t>
        </is>
      </c>
      <c r="D73" s="4">
        <f>SUM(Calculations!L142:P142)</f>
        <v/>
      </c>
      <c r="E73" t="inlineStr">
        <is>
          <t>EURm</t>
        </is>
      </c>
    </row>
    <row r="74">
      <c r="B74" t="inlineStr">
        <is>
          <t>Learning &amp; growth (enablers)</t>
        </is>
      </c>
      <c r="C74" t="inlineStr">
        <is>
          <t>Operating cost of running the strategies, 2025-2029</t>
        </is>
      </c>
      <c r="D74" s="4">
        <f>SUM(Calculations!L139:P139)</f>
        <v/>
      </c>
      <c r="E74" t="inlineStr">
        <is>
          <t>EURm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9" customWidth="1" min="8" max="8"/>
    <col width="46" customWidth="1" min="9" max="9"/>
    <col width="12" customWidth="1" min="10" max="10"/>
    <col width="40" customWidth="1" min="11" max="11"/>
    <col width="7" customWidth="1" min="12" max="12"/>
    <col width="11" customWidth="1" min="13" max="13"/>
    <col width="11" customWidth="1" min="14" max="14"/>
    <col width="11" customWidth="1" min="15" max="15"/>
    <col width="36" customWidth="1" min="16" max="16"/>
    <col width="40" customWidth="1" min="17" max="17"/>
    <col width="26" customWidth="1" min="18" max="18"/>
    <col width="14" customWidth="1" min="19" max="19"/>
    <col width="10" customWidth="1" min="20" max="20"/>
  </cols>
  <sheetData>
    <row r="1">
      <c r="B1" s="6" t="inlineStr">
        <is>
          <t>Inputs - assumptions register</t>
        </is>
      </c>
    </row>
    <row r="2">
      <c r="B2" s="7" t="inlineStr">
        <is>
          <t>Every number used by the model, once. Blue = typed input. Grade: source reliability A-F, information credibility 1-6 (A1 best).</t>
        </is>
      </c>
    </row>
    <row r="5">
      <c r="A5" s="12" t="inlineStr">
        <is>
          <t>ID</t>
        </is>
      </c>
      <c r="B5" s="12" t="inlineStr">
        <is>
          <t>Input</t>
        </is>
      </c>
      <c r="C5" s="12" t="inlineStr">
        <is>
          <t>Unit</t>
        </is>
      </c>
      <c r="D5" s="12" t="inlineStr">
        <is>
          <t>Type</t>
        </is>
      </c>
      <c r="E5" s="12" t="inlineStr">
        <is>
          <t>Low</t>
        </is>
      </c>
      <c r="F5" s="12" t="inlineStr">
        <is>
          <t>Base</t>
        </is>
      </c>
      <c r="G5" s="12" t="inlineStr">
        <is>
          <t>High</t>
        </is>
      </c>
      <c r="H5" s="12" t="inlineStr">
        <is>
          <t>Polarity</t>
        </is>
      </c>
      <c r="I5" s="12" t="inlineStr">
        <is>
          <t>Source</t>
        </is>
      </c>
      <c r="J5" s="12" t="inlineStr">
        <is>
          <t>Date</t>
        </is>
      </c>
      <c r="K5" s="12" t="inlineStr">
        <is>
          <t>Link / database path</t>
        </is>
      </c>
      <c r="L5" s="12" t="inlineStr">
        <is>
          <t>Grade</t>
        </is>
      </c>
      <c r="M5" s="12" t="inlineStr">
        <is>
          <t>Benchmark low (p25)</t>
        </is>
      </c>
      <c r="N5" s="12" t="inlineStr">
        <is>
          <t>Benchmark median</t>
        </is>
      </c>
      <c r="O5" s="12" t="inlineStr">
        <is>
          <t>Benchmark high (p75)</t>
        </is>
      </c>
      <c r="P5" s="12" t="inlineStr">
        <is>
          <t>Benchmark source</t>
        </is>
      </c>
      <c r="Q5" s="12" t="inlineStr">
        <is>
          <t>Justification (if above p75)</t>
        </is>
      </c>
      <c r="R5" s="12" t="inlineStr">
        <is>
          <t>Used by</t>
        </is>
      </c>
      <c r="S5" s="12" t="inlineStr">
        <is>
          <t>Key</t>
        </is>
      </c>
      <c r="T5" s="12" t="inlineStr">
        <is>
          <t>Revision</t>
        </is>
      </c>
    </row>
    <row r="6">
      <c r="A6" s="13" t="n"/>
      <c r="B6" s="14" t="inlineStr">
        <is>
          <t>Baseline drivers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</row>
    <row r="7">
      <c r="A7" t="n">
        <v>1</v>
      </c>
      <c r="B7" t="inlineStr">
        <is>
          <t>Customers, base year</t>
        </is>
      </c>
      <c r="C7" t="inlineStr">
        <is>
          <t>m</t>
        </is>
      </c>
      <c r="D7" t="inlineStr">
        <is>
          <t>actual</t>
        </is>
      </c>
      <c r="E7" s="15">
        <f>Actuals!$K$8</f>
        <v/>
      </c>
      <c r="F7" s="15">
        <f>Actuals!$K$8</f>
        <v/>
      </c>
      <c r="G7" s="15">
        <f>Actuals!$K$8</f>
        <v/>
      </c>
      <c r="H7" t="n">
        <v>1</v>
      </c>
      <c r="I7" s="16" t="inlineStr">
        <is>
          <t>History: last reported value of Customers (reported) 2020-2024 (live link to the Actuals sheet). Data: ILLUSTRATIVE - replace (annual report KPIs / case pack)</t>
        </is>
      </c>
      <c r="J7" t="inlineStr">
        <is>
          <t>2026-01-01</t>
        </is>
      </c>
      <c r="K7" s="16" t="inlineStr">
        <is>
          <t>-</t>
        </is>
      </c>
      <c r="L7" t="inlineStr">
        <is>
          <t>F6</t>
        </is>
      </c>
      <c r="M7" s="17" t="n"/>
      <c r="N7" s="17" t="n"/>
      <c r="O7" s="17" t="n"/>
      <c r="P7" s="16" t="inlineStr"/>
      <c r="Q7" s="16" t="inlineStr"/>
      <c r="R7" t="inlineStr">
        <is>
          <t>leaf customers</t>
        </is>
      </c>
      <c r="S7" t="inlineStr">
        <is>
          <t>cust0</t>
        </is>
      </c>
      <c r="T7" t="inlineStr"/>
    </row>
    <row r="8">
      <c r="A8" t="n">
        <v>2</v>
      </c>
      <c r="B8" t="inlineStr">
        <is>
          <t>Baseline growth in customers</t>
        </is>
      </c>
      <c r="C8" t="inlineStr">
        <is>
          <t>%</t>
        </is>
      </c>
      <c r="D8" t="inlineStr">
        <is>
          <t>assumption</t>
        </is>
      </c>
      <c r="E8" s="18" t="n">
        <v>0</v>
      </c>
      <c r="F8" s="19">
        <f>Calculations!$E$25</f>
        <v/>
      </c>
      <c r="G8" s="18" t="n">
        <v>0.02</v>
      </c>
      <c r="H8" t="n">
        <v>1</v>
      </c>
      <c r="I8" s="16" t="inlineStr">
        <is>
          <t>History: CAGR of Customers (reported) 2020-2024 (live link to the Actuals sheet). Data: ILLUSTRATIVE - replace (annual report KPIs / case pack)</t>
        </is>
      </c>
      <c r="J8" t="inlineStr">
        <is>
          <t>2026-01-01</t>
        </is>
      </c>
      <c r="K8" s="16" t="inlineStr">
        <is>
          <t>-</t>
        </is>
      </c>
      <c r="L8" t="inlineStr">
        <is>
          <t>F6</t>
        </is>
      </c>
      <c r="M8" s="5" t="n"/>
      <c r="N8" s="5" t="n"/>
      <c r="O8" s="5" t="n"/>
      <c r="P8" s="16" t="inlineStr"/>
      <c r="Q8" s="16" t="inlineStr"/>
      <c r="R8" t="inlineStr">
        <is>
          <t>leaf customers</t>
        </is>
      </c>
      <c r="S8" t="inlineStr">
        <is>
          <t>cust_g</t>
        </is>
      </c>
      <c r="T8" t="inlineStr"/>
    </row>
    <row r="9">
      <c r="A9" t="n">
        <v>3</v>
      </c>
      <c r="B9" t="inlineStr">
        <is>
          <t>Purchases per customer per year</t>
        </is>
      </c>
      <c r="C9" t="inlineStr">
        <is>
          <t>x</t>
        </is>
      </c>
      <c r="D9" t="inlineStr">
        <is>
          <t>actual</t>
        </is>
      </c>
      <c r="E9" s="20" t="n">
        <v>8</v>
      </c>
      <c r="F9" s="20" t="n">
        <v>8</v>
      </c>
      <c r="G9" s="20" t="n">
        <v>8</v>
      </c>
      <c r="H9" t="n">
        <v>1</v>
      </c>
      <c r="I9" s="16" t="inlineStr">
        <is>
          <t>ILLUSTRATIVE - replace (loyalty data)</t>
        </is>
      </c>
      <c r="J9" t="inlineStr">
        <is>
          <t>2026-01-01</t>
        </is>
      </c>
      <c r="K9" s="16" t="inlineStr">
        <is>
          <t>-</t>
        </is>
      </c>
      <c r="L9" t="inlineStr">
        <is>
          <t>F6</t>
        </is>
      </c>
      <c r="M9" s="17" t="n"/>
      <c r="N9" s="17" t="n"/>
      <c r="O9" s="17" t="n"/>
      <c r="P9" s="16" t="inlineStr"/>
      <c r="Q9" s="16" t="inlineStr"/>
      <c r="R9" t="inlineStr">
        <is>
          <t>leaf freq</t>
        </is>
      </c>
      <c r="S9" t="inlineStr">
        <is>
          <t>freq0</t>
        </is>
      </c>
      <c r="T9" t="inlineStr"/>
    </row>
    <row r="10">
      <c r="A10" t="n">
        <v>4</v>
      </c>
      <c r="B10" t="inlineStr">
        <is>
          <t>Average ticket, base year</t>
        </is>
      </c>
      <c r="C10" t="inlineStr">
        <is>
          <t>EUR</t>
        </is>
      </c>
      <c r="D10" t="inlineStr">
        <is>
          <t>actual</t>
        </is>
      </c>
      <c r="E10" s="20" t="n">
        <v>25</v>
      </c>
      <c r="F10" s="20" t="n">
        <v>25</v>
      </c>
      <c r="G10" s="20" t="n">
        <v>25</v>
      </c>
      <c r="H10" t="n">
        <v>1</v>
      </c>
      <c r="I10" s="16" t="inlineStr">
        <is>
          <t>Derived: revenue / (customers x purchases)</t>
        </is>
      </c>
      <c r="J10" t="inlineStr">
        <is>
          <t>2026-01-01</t>
        </is>
      </c>
      <c r="K10" s="16" t="inlineStr">
        <is>
          <t>-</t>
        </is>
      </c>
      <c r="L10" t="inlineStr">
        <is>
          <t>F6</t>
        </is>
      </c>
      <c r="M10" s="17" t="n"/>
      <c r="N10" s="17" t="n"/>
      <c r="O10" s="17" t="n"/>
      <c r="P10" s="16" t="inlineStr"/>
      <c r="Q10" s="16" t="inlineStr"/>
      <c r="R10" t="inlineStr">
        <is>
          <t>leaf ticket</t>
        </is>
      </c>
      <c r="S10" t="inlineStr">
        <is>
          <t>ticket0</t>
        </is>
      </c>
      <c r="T10" t="inlineStr"/>
    </row>
    <row r="11">
      <c r="A11" t="n">
        <v>5</v>
      </c>
      <c r="B11" t="inlineStr">
        <is>
          <t>Price inflation</t>
        </is>
      </c>
      <c r="C11" t="inlineStr">
        <is>
          <t>%</t>
        </is>
      </c>
      <c r="D11" t="inlineStr">
        <is>
          <t>assumption</t>
        </is>
      </c>
      <c r="E11" s="18" t="n">
        <v>0.015</v>
      </c>
      <c r="F11" s="18" t="n">
        <v>0.02</v>
      </c>
      <c r="G11" s="18" t="n">
        <v>0.03</v>
      </c>
      <c r="H11" t="n">
        <v>1</v>
      </c>
      <c r="I11" s="16" t="inlineStr">
        <is>
          <t>ILLUSTRATIVE - replace (IMF WEO PCPIPCH)</t>
        </is>
      </c>
      <c r="J11" t="inlineStr">
        <is>
          <t>2026-01-01</t>
        </is>
      </c>
      <c r="K11" s="16" t="inlineStr">
        <is>
          <t>-</t>
        </is>
      </c>
      <c r="L11" t="inlineStr">
        <is>
          <t>F6</t>
        </is>
      </c>
      <c r="M11" s="5" t="n"/>
      <c r="N11" s="5" t="n"/>
      <c r="O11" s="5" t="n"/>
      <c r="P11" s="16" t="inlineStr"/>
      <c r="Q11" s="16" t="inlineStr"/>
      <c r="R11" t="inlineStr">
        <is>
          <t>leaf ticket</t>
        </is>
      </c>
      <c r="S11" t="inlineStr">
        <is>
          <t>infl</t>
        </is>
      </c>
      <c r="T11" t="inlineStr"/>
    </row>
    <row r="12">
      <c r="A12" s="13" t="n"/>
      <c r="B12" s="14" t="inlineStr">
        <is>
          <t>Market ceilings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</row>
    <row r="13">
      <c r="A13" t="n">
        <v>6</v>
      </c>
      <c r="B13" t="inlineStr">
        <is>
          <t>Ceiling: addressable customers</t>
        </is>
      </c>
      <c r="C13" t="inlineStr">
        <is>
          <t>m</t>
        </is>
      </c>
      <c r="D13" t="inlineStr">
        <is>
          <t>actual</t>
        </is>
      </c>
      <c r="E13" s="20" t="n">
        <v>4</v>
      </c>
      <c r="F13" s="20" t="n">
        <v>4</v>
      </c>
      <c r="G13" s="20" t="n">
        <v>4</v>
      </c>
      <c r="H13" t="n">
        <v>1</v>
      </c>
      <c r="I13" s="16" t="inlineStr">
        <is>
          <t>ILLUSTRATIVE - replace (national statistics office population in catchment)</t>
        </is>
      </c>
      <c r="J13" t="inlineStr">
        <is>
          <t>2026-01-01</t>
        </is>
      </c>
      <c r="K13" s="16" t="inlineStr">
        <is>
          <t>-</t>
        </is>
      </c>
      <c r="L13" t="inlineStr">
        <is>
          <t>F6</t>
        </is>
      </c>
      <c r="M13" s="17" t="n"/>
      <c r="N13" s="17" t="n"/>
      <c r="O13" s="17" t="n"/>
      <c r="P13" s="16" t="inlineStr"/>
      <c r="Q13" s="16" t="inlineStr"/>
      <c r="R13" t="inlineStr">
        <is>
          <t>leaf customers</t>
        </is>
      </c>
      <c r="S13" t="inlineStr">
        <is>
          <t>market</t>
        </is>
      </c>
      <c r="T13" t="inlineStr"/>
    </row>
    <row r="14">
      <c r="A14" t="n">
        <v>7</v>
      </c>
      <c r="B14" t="inlineStr">
        <is>
          <t>Growth in addressable customers</t>
        </is>
      </c>
      <c r="C14" t="inlineStr">
        <is>
          <t>%</t>
        </is>
      </c>
      <c r="D14" t="inlineStr">
        <is>
          <t>assumption</t>
        </is>
      </c>
      <c r="E14" s="18" t="n">
        <v>0</v>
      </c>
      <c r="F14" s="18" t="n">
        <v>0.005</v>
      </c>
      <c r="G14" s="18" t="n">
        <v>0.01</v>
      </c>
      <c r="H14" t="n">
        <v>1</v>
      </c>
      <c r="I14" s="16" t="inlineStr">
        <is>
          <t>ILLUSTRATIVE - replace (Eurostat population projections)</t>
        </is>
      </c>
      <c r="J14" t="inlineStr">
        <is>
          <t>2026-01-01</t>
        </is>
      </c>
      <c r="K14" s="16" t="inlineStr">
        <is>
          <t>-</t>
        </is>
      </c>
      <c r="L14" t="inlineStr">
        <is>
          <t>F6</t>
        </is>
      </c>
      <c r="M14" s="5" t="n"/>
      <c r="N14" s="5" t="n"/>
      <c r="O14" s="5" t="n"/>
      <c r="P14" s="16" t="inlineStr"/>
      <c r="Q14" s="16" t="inlineStr"/>
      <c r="R14" t="inlineStr">
        <is>
          <t>leaf customers</t>
        </is>
      </c>
      <c r="S14" t="inlineStr">
        <is>
          <t>market_g</t>
        </is>
      </c>
      <c r="T14" t="inlineStr"/>
    </row>
    <row r="15">
      <c r="A15" s="13" t="n"/>
      <c r="B15" s="14" t="inlineStr">
        <is>
          <t>Revenue scaling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</row>
    <row r="16">
      <c r="A16" t="n">
        <v>8</v>
      </c>
      <c r="B16" t="inlineStr">
        <is>
          <t>Unit conversion: EUR to EURm with customers in millions</t>
        </is>
      </c>
      <c r="C16" t="inlineStr">
        <is>
          <t>x</t>
        </is>
      </c>
      <c r="D16" t="inlineStr">
        <is>
          <t>conversion</t>
        </is>
      </c>
      <c r="E16" s="20" t="n">
        <v>1</v>
      </c>
      <c r="F16" s="20" t="n">
        <v>1</v>
      </c>
      <c r="G16" s="20" t="n">
        <v>1</v>
      </c>
      <c r="H16" t="n">
        <v>1</v>
      </c>
      <c r="I16" s="16" t="inlineStr">
        <is>
          <t>Arithmetic: m customers x purchases x EUR = EURm</t>
        </is>
      </c>
      <c r="J16" t="inlineStr">
        <is>
          <t>2026-01-01</t>
        </is>
      </c>
      <c r="K16" s="16" t="inlineStr">
        <is>
          <t>-</t>
        </is>
      </c>
      <c r="L16" t="inlineStr">
        <is>
          <t>A1</t>
        </is>
      </c>
      <c r="M16" s="17" t="n"/>
      <c r="N16" s="17" t="n"/>
      <c r="O16" s="17" t="n"/>
      <c r="P16" s="16" t="inlineStr"/>
      <c r="Q16" s="16" t="inlineStr"/>
      <c r="R16" t="inlineStr"/>
      <c r="S16" t="inlineStr">
        <is>
          <t>to_m</t>
        </is>
      </c>
      <c r="T16" t="inlineStr"/>
    </row>
    <row r="17">
      <c r="A17" s="13" t="n"/>
      <c r="B17" s="14" t="inlineStr">
        <is>
          <t>Initiatives - Pillar A</t>
        </is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</row>
    <row r="18">
      <c r="A18" t="n">
        <v>9</v>
      </c>
      <c r="B18" t="inlineStr">
        <is>
          <t>Pillar A: peak uplift in customers</t>
        </is>
      </c>
      <c r="C18" t="inlineStr">
        <is>
          <t>%</t>
        </is>
      </c>
      <c r="D18" t="inlineStr">
        <is>
          <t>uplift</t>
        </is>
      </c>
      <c r="E18" s="18" t="n">
        <v>0.02</v>
      </c>
      <c r="F18" s="18" t="n">
        <v>0.04</v>
      </c>
      <c r="G18" s="18" t="n">
        <v>0.06</v>
      </c>
      <c r="H18" t="n">
        <v>1</v>
      </c>
      <c r="I18" s="16" t="inlineStr">
        <is>
          <t>ILLUSTRATIVE - replace</t>
        </is>
      </c>
      <c r="J18" t="inlineStr">
        <is>
          <t>2026-01-01</t>
        </is>
      </c>
      <c r="K18" s="16" t="inlineStr">
        <is>
          <t>-</t>
        </is>
      </c>
      <c r="L18" t="inlineStr">
        <is>
          <t>F6</t>
        </is>
      </c>
      <c r="M18" s="5" t="n">
        <v>0.02</v>
      </c>
      <c r="N18" s="5" t="n">
        <v>0.04</v>
      </c>
      <c r="O18" s="5" t="n">
        <v>0.06</v>
      </c>
      <c r="P18" s="16" t="inlineStr">
        <is>
          <t>ILLUSTRATIVE - build the reference class (Factiva cases) (p25 / median / p75)</t>
        </is>
      </c>
      <c r="Q18" s="16" t="inlineStr"/>
      <c r="R18" t="inlineStr">
        <is>
          <t>a1</t>
        </is>
      </c>
      <c r="S18" t="inlineStr">
        <is>
          <t>a_up</t>
        </is>
      </c>
      <c r="T18" t="inlineStr"/>
    </row>
    <row r="19">
      <c r="A19" t="n">
        <v>10</v>
      </c>
      <c r="B19" t="inlineStr">
        <is>
          <t>Annual erosion of initiative effects</t>
        </is>
      </c>
      <c r="C19" t="inlineStr">
        <is>
          <t>%</t>
        </is>
      </c>
      <c r="D19" t="inlineStr">
        <is>
          <t>assumption</t>
        </is>
      </c>
      <c r="E19" s="18" t="n">
        <v>0</v>
      </c>
      <c r="F19" s="18" t="n">
        <v>0.03</v>
      </c>
      <c r="G19" s="18" t="n">
        <v>0.06</v>
      </c>
      <c r="H19" t="n">
        <v>1</v>
      </c>
      <c r="I19" s="16" t="inlineStr">
        <is>
          <t>ILLUSTRATIVE - replace</t>
        </is>
      </c>
      <c r="J19" t="inlineStr">
        <is>
          <t>2026-01-01</t>
        </is>
      </c>
      <c r="K19" s="16" t="inlineStr">
        <is>
          <t>-</t>
        </is>
      </c>
      <c r="L19" t="inlineStr">
        <is>
          <t>F6</t>
        </is>
      </c>
      <c r="M19" s="5" t="n"/>
      <c r="N19" s="5" t="n"/>
      <c r="O19" s="5" t="n"/>
      <c r="P19" s="16" t="inlineStr"/>
      <c r="Q19" s="16" t="inlineStr"/>
      <c r="R19" t="inlineStr">
        <is>
          <t>a1, b1, c1</t>
        </is>
      </c>
      <c r="S19" t="inlineStr">
        <is>
          <t>decay</t>
        </is>
      </c>
      <c r="T19" t="inlineStr"/>
    </row>
    <row r="20">
      <c r="A20" t="n">
        <v>11</v>
      </c>
      <c r="B20" t="inlineStr">
        <is>
          <t>Bass p</t>
        </is>
      </c>
      <c r="C20" t="inlineStr">
        <is>
          <t>x</t>
        </is>
      </c>
      <c r="D20" t="inlineStr">
        <is>
          <t>assumption</t>
        </is>
      </c>
      <c r="E20" s="20" t="n">
        <v>0.02</v>
      </c>
      <c r="F20" s="20" t="n">
        <v>0.03</v>
      </c>
      <c r="G20" s="20" t="n">
        <v>0.06</v>
      </c>
      <c r="H20" t="n">
        <v>1</v>
      </c>
      <c r="I20" s="16" t="inlineStr">
        <is>
          <t>Sultan, Farley &amp; Lehmann (1990) JMR: mean p = 0.03 (replace with analogous launch)</t>
        </is>
      </c>
      <c r="J20" t="inlineStr">
        <is>
          <t>1990-02-01</t>
        </is>
      </c>
      <c r="K20" s="16" t="inlineStr">
        <is>
          <t>JMR 27(1)</t>
        </is>
      </c>
      <c r="L20" t="inlineStr">
        <is>
          <t>B2</t>
        </is>
      </c>
      <c r="M20" s="17" t="n"/>
      <c r="N20" s="17" t="n"/>
      <c r="O20" s="17" t="n"/>
      <c r="P20" s="16" t="inlineStr"/>
      <c r="Q20" s="16" t="inlineStr"/>
      <c r="R20" t="inlineStr">
        <is>
          <t>a1, b1</t>
        </is>
      </c>
      <c r="S20" t="inlineStr">
        <is>
          <t>bass_p</t>
        </is>
      </c>
      <c r="T20" t="inlineStr"/>
    </row>
    <row r="21">
      <c r="A21" t="n">
        <v>12</v>
      </c>
      <c r="B21" t="inlineStr">
        <is>
          <t>Bass q</t>
        </is>
      </c>
      <c r="C21" t="inlineStr">
        <is>
          <t>x</t>
        </is>
      </c>
      <c r="D21" t="inlineStr">
        <is>
          <t>assumption</t>
        </is>
      </c>
      <c r="E21" s="20" t="n">
        <v>0.25</v>
      </c>
      <c r="F21" s="20" t="n">
        <v>0.38</v>
      </c>
      <c r="G21" s="20" t="n">
        <v>0.5</v>
      </c>
      <c r="H21" t="n">
        <v>1</v>
      </c>
      <c r="I21" s="16" t="inlineStr">
        <is>
          <t>Sultan, Farley &amp; Lehmann (1990) JMR: mean q = 0.38</t>
        </is>
      </c>
      <c r="J21" t="inlineStr">
        <is>
          <t>1990-02-01</t>
        </is>
      </c>
      <c r="K21" s="16" t="inlineStr">
        <is>
          <t>JMR 27(1)</t>
        </is>
      </c>
      <c r="L21" t="inlineStr">
        <is>
          <t>B2</t>
        </is>
      </c>
      <c r="M21" s="17" t="n"/>
      <c r="N21" s="17" t="n"/>
      <c r="O21" s="17" t="n"/>
      <c r="P21" s="16" t="inlineStr"/>
      <c r="Q21" s="16" t="inlineStr"/>
      <c r="R21" t="inlineStr">
        <is>
          <t>a1, b1</t>
        </is>
      </c>
      <c r="S21" t="inlineStr">
        <is>
          <t>bass_q</t>
        </is>
      </c>
      <c r="T21" t="inlineStr"/>
    </row>
    <row r="22">
      <c r="A22" t="n">
        <v>13</v>
      </c>
      <c r="B22" t="inlineStr">
        <is>
          <t>Launch year: Initiative A1</t>
        </is>
      </c>
      <c r="C22" t="inlineStr">
        <is>
          <t>year</t>
        </is>
      </c>
      <c r="D22" t="inlineStr">
        <is>
          <t>plan</t>
        </is>
      </c>
      <c r="E22" s="21" t="n">
        <v>2025</v>
      </c>
      <c r="F22" s="21" t="n">
        <v>2025</v>
      </c>
      <c r="G22" s="21" t="n">
        <v>2025</v>
      </c>
      <c r="H22" t="n">
        <v>1</v>
      </c>
      <c r="I22" s="16" t="inlineStr">
        <is>
          <t>Team implementation plan</t>
        </is>
      </c>
      <c r="J22" t="inlineStr">
        <is>
          <t>2026-01-01</t>
        </is>
      </c>
      <c r="K22" s="16" t="inlineStr">
        <is>
          <t>Strategy deck / roadmap</t>
        </is>
      </c>
      <c r="L22" t="inlineStr">
        <is>
          <t>A1</t>
        </is>
      </c>
      <c r="M22" s="22" t="n"/>
      <c r="N22" s="22" t="n"/>
      <c r="O22" s="22" t="n"/>
      <c r="P22" s="16" t="inlineStr"/>
      <c r="Q22" s="16" t="inlineStr"/>
      <c r="R22" t="inlineStr">
        <is>
          <t>a1</t>
        </is>
      </c>
      <c r="S22" t="inlineStr">
        <is>
          <t>a1_launch</t>
        </is>
      </c>
      <c r="T22" t="inlineStr"/>
    </row>
    <row r="23">
      <c r="A23" s="13" t="n"/>
      <c r="B23" s="14" t="inlineStr">
        <is>
          <t>Initiatives - Pillar B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</row>
    <row r="24">
      <c r="A24" t="n">
        <v>14</v>
      </c>
      <c r="B24" t="inlineStr">
        <is>
          <t>Pillar B: peak uplift in purchase frequency</t>
        </is>
      </c>
      <c r="C24" t="inlineStr">
        <is>
          <t>%</t>
        </is>
      </c>
      <c r="D24" t="inlineStr">
        <is>
          <t>uplift</t>
        </is>
      </c>
      <c r="E24" s="18" t="n">
        <v>0.02</v>
      </c>
      <c r="F24" s="18" t="n">
        <v>0.03</v>
      </c>
      <c r="G24" s="18" t="n">
        <v>0.05</v>
      </c>
      <c r="H24" t="n">
        <v>1</v>
      </c>
      <c r="I24" s="16" t="inlineStr">
        <is>
          <t>ILLUSTRATIVE - replace</t>
        </is>
      </c>
      <c r="J24" t="inlineStr">
        <is>
          <t>2026-01-01</t>
        </is>
      </c>
      <c r="K24" s="16" t="inlineStr">
        <is>
          <t>-</t>
        </is>
      </c>
      <c r="L24" t="inlineStr">
        <is>
          <t>F6</t>
        </is>
      </c>
      <c r="M24" s="5" t="n">
        <v>0.01</v>
      </c>
      <c r="N24" s="5" t="n">
        <v>0.03</v>
      </c>
      <c r="O24" s="5" t="n">
        <v>0.06</v>
      </c>
      <c r="P24" s="16" t="inlineStr">
        <is>
          <t>ILLUSTRATIVE - Scopus meta-analysis (p25 / median / p75)</t>
        </is>
      </c>
      <c r="Q24" s="16" t="inlineStr"/>
      <c r="R24" t="inlineStr">
        <is>
          <t>b1</t>
        </is>
      </c>
      <c r="S24" t="inlineStr">
        <is>
          <t>b_up</t>
        </is>
      </c>
      <c r="T24" t="inlineStr"/>
    </row>
    <row r="25">
      <c r="A25" t="n">
        <v>15</v>
      </c>
      <c r="B25" t="inlineStr">
        <is>
          <t>Launch year: Initiative B1</t>
        </is>
      </c>
      <c r="C25" t="inlineStr">
        <is>
          <t>year</t>
        </is>
      </c>
      <c r="D25" t="inlineStr">
        <is>
          <t>plan</t>
        </is>
      </c>
      <c r="E25" s="21" t="n">
        <v>2025</v>
      </c>
      <c r="F25" s="21" t="n">
        <v>2025</v>
      </c>
      <c r="G25" s="21" t="n">
        <v>2025</v>
      </c>
      <c r="H25" t="n">
        <v>1</v>
      </c>
      <c r="I25" s="16" t="inlineStr">
        <is>
          <t>Team implementation plan</t>
        </is>
      </c>
      <c r="J25" t="inlineStr">
        <is>
          <t>2026-01-01</t>
        </is>
      </c>
      <c r="K25" s="16" t="inlineStr">
        <is>
          <t>Strategy deck / roadmap</t>
        </is>
      </c>
      <c r="L25" t="inlineStr">
        <is>
          <t>A1</t>
        </is>
      </c>
      <c r="M25" s="22" t="n"/>
      <c r="N25" s="22" t="n"/>
      <c r="O25" s="22" t="n"/>
      <c r="P25" s="16" t="inlineStr"/>
      <c r="Q25" s="16" t="inlineStr"/>
      <c r="R25" t="inlineStr">
        <is>
          <t>b1</t>
        </is>
      </c>
      <c r="S25" t="inlineStr">
        <is>
          <t>b1_launch</t>
        </is>
      </c>
      <c r="T25" t="inlineStr"/>
    </row>
    <row r="26">
      <c r="A26" s="13" t="n"/>
      <c r="B26" s="14" t="inlineStr">
        <is>
          <t>Initiatives - Pillar C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</row>
    <row r="27">
      <c r="A27" t="n">
        <v>16</v>
      </c>
      <c r="B27" t="inlineStr">
        <is>
          <t>Pillar C: peak uplift in average ticket</t>
        </is>
      </c>
      <c r="C27" t="inlineStr">
        <is>
          <t>%</t>
        </is>
      </c>
      <c r="D27" t="inlineStr">
        <is>
          <t>uplift</t>
        </is>
      </c>
      <c r="E27" s="18" t="n">
        <v>0.01</v>
      </c>
      <c r="F27" s="18" t="n">
        <v>0.02</v>
      </c>
      <c r="G27" s="18" t="n">
        <v>0.04</v>
      </c>
      <c r="H27" t="n">
        <v>1</v>
      </c>
      <c r="I27" s="16" t="inlineStr">
        <is>
          <t>ILLUSTRATIVE - replace</t>
        </is>
      </c>
      <c r="J27" t="inlineStr">
        <is>
          <t>2026-01-01</t>
        </is>
      </c>
      <c r="K27" s="16" t="inlineStr">
        <is>
          <t>-</t>
        </is>
      </c>
      <c r="L27" t="inlineStr">
        <is>
          <t>F6</t>
        </is>
      </c>
      <c r="M27" s="5" t="n">
        <v>0.01</v>
      </c>
      <c r="N27" s="5" t="n">
        <v>0.025</v>
      </c>
      <c r="O27" s="5" t="n">
        <v>0.05</v>
      </c>
      <c r="P27" s="16" t="inlineStr">
        <is>
          <t>ILLUSTRATIVE - Factiva / Euromonitor (p25 / median / p75)</t>
        </is>
      </c>
      <c r="Q27" s="16" t="inlineStr"/>
      <c r="R27" t="inlineStr">
        <is>
          <t>c1</t>
        </is>
      </c>
      <c r="S27" t="inlineStr">
        <is>
          <t>c_up</t>
        </is>
      </c>
      <c r="T27" t="inlineStr"/>
    </row>
    <row r="28">
      <c r="A28" t="n">
        <v>17</v>
      </c>
      <c r="B28" t="inlineStr">
        <is>
          <t>Pillar C: years to full effect (linear ramp)</t>
        </is>
      </c>
      <c r="C28" t="inlineStr">
        <is>
          <t>years</t>
        </is>
      </c>
      <c r="D28" t="inlineStr">
        <is>
          <t>assumption</t>
        </is>
      </c>
      <c r="E28" s="20" t="n">
        <v>1</v>
      </c>
      <c r="F28" s="20" t="n">
        <v>2</v>
      </c>
      <c r="G28" s="20" t="n">
        <v>3</v>
      </c>
      <c r="H28" t="n">
        <v>1</v>
      </c>
      <c r="I28" s="16" t="inlineStr">
        <is>
          <t>ILLUSTRATIVE - replace (roll-out plan vs comparable launches)</t>
        </is>
      </c>
      <c r="J28" t="inlineStr">
        <is>
          <t>2026-01-01</t>
        </is>
      </c>
      <c r="K28" s="16" t="inlineStr">
        <is>
          <t>-</t>
        </is>
      </c>
      <c r="L28" t="inlineStr">
        <is>
          <t>F6</t>
        </is>
      </c>
      <c r="M28" s="17" t="n"/>
      <c r="N28" s="17" t="n"/>
      <c r="O28" s="17" t="n"/>
      <c r="P28" s="16" t="inlineStr"/>
      <c r="Q28" s="16" t="inlineStr"/>
      <c r="R28" t="inlineStr">
        <is>
          <t>c1</t>
        </is>
      </c>
      <c r="S28" t="inlineStr">
        <is>
          <t>c_ytp</t>
        </is>
      </c>
      <c r="T28" t="inlineStr"/>
    </row>
    <row r="29">
      <c r="A29" t="n">
        <v>18</v>
      </c>
      <c r="B29" t="inlineStr">
        <is>
          <t>Launch year: Initiative C1</t>
        </is>
      </c>
      <c r="C29" t="inlineStr">
        <is>
          <t>year</t>
        </is>
      </c>
      <c r="D29" t="inlineStr">
        <is>
          <t>plan</t>
        </is>
      </c>
      <c r="E29" s="21" t="n">
        <v>2026</v>
      </c>
      <c r="F29" s="21" t="n">
        <v>2026</v>
      </c>
      <c r="G29" s="21" t="n">
        <v>2026</v>
      </c>
      <c r="H29" t="n">
        <v>1</v>
      </c>
      <c r="I29" s="16" t="inlineStr">
        <is>
          <t>Team implementation plan</t>
        </is>
      </c>
      <c r="J29" t="inlineStr">
        <is>
          <t>2026-01-01</t>
        </is>
      </c>
      <c r="K29" s="16" t="inlineStr">
        <is>
          <t>Strategy deck / roadmap</t>
        </is>
      </c>
      <c r="L29" t="inlineStr">
        <is>
          <t>A1</t>
        </is>
      </c>
      <c r="M29" s="22" t="n"/>
      <c r="N29" s="22" t="n"/>
      <c r="O29" s="22" t="n"/>
      <c r="P29" s="16" t="inlineStr"/>
      <c r="Q29" s="16" t="inlineStr"/>
      <c r="R29" t="inlineStr">
        <is>
          <t>c1</t>
        </is>
      </c>
      <c r="S29" t="inlineStr">
        <is>
          <t>c1_launch</t>
        </is>
      </c>
      <c r="T29" t="inlineStr"/>
    </row>
    <row r="30">
      <c r="A30" s="13" t="n"/>
      <c r="B30" s="14" t="inlineStr">
        <is>
          <t>Costs</t>
        </is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</row>
    <row r="31">
      <c r="A31" t="n">
        <v>19</v>
      </c>
      <c r="B31" t="inlineStr">
        <is>
          <t>Pillar A: annual cost</t>
        </is>
      </c>
      <c r="C31" t="inlineStr">
        <is>
          <t>EURm</t>
        </is>
      </c>
      <c r="D31" t="inlineStr">
        <is>
          <t>cost</t>
        </is>
      </c>
      <c r="E31" s="23" t="n">
        <v>0.2</v>
      </c>
      <c r="F31" s="23" t="n">
        <v>0.3</v>
      </c>
      <c r="G31" s="23" t="n">
        <v>0.4</v>
      </c>
      <c r="H31" t="n">
        <v>-1</v>
      </c>
      <c r="I31" s="16" t="inlineStr">
        <is>
          <t>ILLUSTRATIVE - replace</t>
        </is>
      </c>
      <c r="J31" t="inlineStr">
        <is>
          <t>2026-01-01</t>
        </is>
      </c>
      <c r="K31" s="16" t="inlineStr">
        <is>
          <t>-</t>
        </is>
      </c>
      <c r="L31" t="inlineStr">
        <is>
          <t>F6</t>
        </is>
      </c>
      <c r="M31" s="24" t="n"/>
      <c r="N31" s="24" t="n"/>
      <c r="O31" s="24" t="n"/>
      <c r="P31" s="16" t="inlineStr"/>
      <c r="Q31" s="16" t="inlineStr"/>
      <c r="R31" t="inlineStr">
        <is>
          <t>a1</t>
        </is>
      </c>
      <c r="S31" t="inlineStr">
        <is>
          <t>a_opex</t>
        </is>
      </c>
      <c r="T31" t="inlineStr"/>
    </row>
    <row r="32">
      <c r="A32" t="n">
        <v>20</v>
      </c>
      <c r="B32" t="inlineStr">
        <is>
          <t>Pillar B: launch investment</t>
        </is>
      </c>
      <c r="C32" t="inlineStr">
        <is>
          <t>EURm</t>
        </is>
      </c>
      <c r="D32" t="inlineStr">
        <is>
          <t>cost</t>
        </is>
      </c>
      <c r="E32" s="23" t="n">
        <v>0.5</v>
      </c>
      <c r="F32" s="23" t="n">
        <v>0.8</v>
      </c>
      <c r="G32" s="23" t="n">
        <v>1.2</v>
      </c>
      <c r="H32" t="n">
        <v>-1</v>
      </c>
      <c r="I32" s="16" t="inlineStr">
        <is>
          <t>ILLUSTRATIVE - replace</t>
        </is>
      </c>
      <c r="J32" t="inlineStr">
        <is>
          <t>2026-01-01</t>
        </is>
      </c>
      <c r="K32" s="16" t="inlineStr">
        <is>
          <t>-</t>
        </is>
      </c>
      <c r="L32" t="inlineStr">
        <is>
          <t>F6</t>
        </is>
      </c>
      <c r="M32" s="24" t="n"/>
      <c r="N32" s="24" t="n"/>
      <c r="O32" s="24" t="n"/>
      <c r="P32" s="16" t="inlineStr"/>
      <c r="Q32" s="16" t="inlineStr"/>
      <c r="R32" t="inlineStr">
        <is>
          <t>b1</t>
        </is>
      </c>
      <c r="S32" t="inlineStr">
        <is>
          <t>b_capex</t>
        </is>
      </c>
      <c r="T32" t="inlineStr"/>
    </row>
    <row r="33">
      <c r="A33" t="n">
        <v>21</v>
      </c>
      <c r="B33" t="inlineStr">
        <is>
          <t>Pillar C: annual cost</t>
        </is>
      </c>
      <c r="C33" t="inlineStr">
        <is>
          <t>EURm</t>
        </is>
      </c>
      <c r="D33" t="inlineStr">
        <is>
          <t>cost</t>
        </is>
      </c>
      <c r="E33" s="23" t="n">
        <v>0.1</v>
      </c>
      <c r="F33" s="23" t="n">
        <v>0.2</v>
      </c>
      <c r="G33" s="23" t="n">
        <v>0.3</v>
      </c>
      <c r="H33" t="n">
        <v>-1</v>
      </c>
      <c r="I33" s="16" t="inlineStr">
        <is>
          <t>ILLUSTRATIVE - replace</t>
        </is>
      </c>
      <c r="J33" t="inlineStr">
        <is>
          <t>2026-01-01</t>
        </is>
      </c>
      <c r="K33" s="16" t="inlineStr">
        <is>
          <t>-</t>
        </is>
      </c>
      <c r="L33" t="inlineStr">
        <is>
          <t>F6</t>
        </is>
      </c>
      <c r="M33" s="24" t="n"/>
      <c r="N33" s="24" t="n"/>
      <c r="O33" s="24" t="n"/>
      <c r="P33" s="16" t="inlineStr"/>
      <c r="Q33" s="16" t="inlineStr"/>
      <c r="R33" t="inlineStr">
        <is>
          <t>c1</t>
        </is>
      </c>
      <c r="S33" t="inlineStr">
        <is>
          <t>c_opex</t>
        </is>
      </c>
      <c r="T33" t="inlineStr"/>
    </row>
    <row r="34">
      <c r="A34" s="13" t="n"/>
      <c r="B34" s="14" t="inlineStr">
        <is>
          <t>Finance &amp; WACC</t>
        </is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</row>
    <row r="35">
      <c r="A35" t="n">
        <v>22</v>
      </c>
      <c r="B35" t="inlineStr">
        <is>
          <t>Contribution margin on incremental revenue</t>
        </is>
      </c>
      <c r="C35" t="inlineStr">
        <is>
          <t>%</t>
        </is>
      </c>
      <c r="D35" t="inlineStr">
        <is>
          <t>assumption</t>
        </is>
      </c>
      <c r="E35" s="18" t="n">
        <v>0.25</v>
      </c>
      <c r="F35" s="18" t="n">
        <v>0.35</v>
      </c>
      <c r="G35" s="18" t="n">
        <v>0.45</v>
      </c>
      <c r="H35" t="n">
        <v>1</v>
      </c>
      <c r="I35" s="16" t="inlineStr">
        <is>
          <t>ILLUSTRATIVE - replace ((revenue - variable costs) / revenue from the P&amp;L)</t>
        </is>
      </c>
      <c r="J35" t="inlineStr">
        <is>
          <t>2026-01-01</t>
        </is>
      </c>
      <c r="K35" s="16" t="inlineStr">
        <is>
          <t>-</t>
        </is>
      </c>
      <c r="L35" t="inlineStr">
        <is>
          <t>F6</t>
        </is>
      </c>
      <c r="M35" s="5" t="n"/>
      <c r="N35" s="5" t="n"/>
      <c r="O35" s="5" t="n"/>
      <c r="P35" s="16" t="inlineStr"/>
      <c r="Q35" s="16" t="inlineStr"/>
      <c r="R35" t="inlineStr">
        <is>
          <t>finance</t>
        </is>
      </c>
      <c r="S35" t="inlineStr">
        <is>
          <t>margin</t>
        </is>
      </c>
      <c r="T35" t="inlineStr"/>
    </row>
    <row r="36">
      <c r="A36" t="n">
        <v>23</v>
      </c>
      <c r="B36" t="inlineStr">
        <is>
          <t>Corporate tax rate</t>
        </is>
      </c>
      <c r="C36" t="inlineStr">
        <is>
          <t>%</t>
        </is>
      </c>
      <c r="D36" t="inlineStr">
        <is>
          <t>assumption</t>
        </is>
      </c>
      <c r="E36" s="18" t="n">
        <v>0.25</v>
      </c>
      <c r="F36" s="18" t="n">
        <v>0.25</v>
      </c>
      <c r="G36" s="18" t="n">
        <v>0.28</v>
      </c>
      <c r="H36" t="n">
        <v>1</v>
      </c>
      <c r="I36" s="16" t="inlineStr">
        <is>
          <t>ILLUSTRATIVE - replace (national tax law)</t>
        </is>
      </c>
      <c r="J36" t="inlineStr">
        <is>
          <t>2026-01-01</t>
        </is>
      </c>
      <c r="K36" s="16" t="inlineStr">
        <is>
          <t>-</t>
        </is>
      </c>
      <c r="L36" t="inlineStr">
        <is>
          <t>F6</t>
        </is>
      </c>
      <c r="M36" s="5" t="n"/>
      <c r="N36" s="5" t="n"/>
      <c r="O36" s="5" t="n"/>
      <c r="P36" s="16" t="inlineStr"/>
      <c r="Q36" s="16" t="inlineStr"/>
      <c r="R36" t="inlineStr">
        <is>
          <t>finance</t>
        </is>
      </c>
      <c r="S36" t="inlineStr">
        <is>
          <t>tax</t>
        </is>
      </c>
      <c r="T36" t="inlineStr"/>
    </row>
    <row r="37">
      <c r="A37" t="n">
        <v>24</v>
      </c>
      <c r="B37" t="inlineStr">
        <is>
          <t>Risk-free rate</t>
        </is>
      </c>
      <c r="C37" t="inlineStr">
        <is>
          <t>%</t>
        </is>
      </c>
      <c r="D37" t="inlineStr">
        <is>
          <t>assumption</t>
        </is>
      </c>
      <c r="E37" s="18" t="n">
        <v>0.025</v>
      </c>
      <c r="F37" s="18" t="n">
        <v>0.03</v>
      </c>
      <c r="G37" s="18" t="n">
        <v>0.035</v>
      </c>
      <c r="H37" t="n">
        <v>1</v>
      </c>
      <c r="I37" s="16" t="inlineStr">
        <is>
          <t>ILLUSTRATIVE - replace (10y government yield, Bloomberg)</t>
        </is>
      </c>
      <c r="J37" t="inlineStr">
        <is>
          <t>2026-01-01</t>
        </is>
      </c>
      <c r="K37" s="16" t="inlineStr">
        <is>
          <t>-</t>
        </is>
      </c>
      <c r="L37" t="inlineStr">
        <is>
          <t>F6</t>
        </is>
      </c>
      <c r="M37" s="5" t="n"/>
      <c r="N37" s="5" t="n"/>
      <c r="O37" s="5" t="n"/>
      <c r="P37" s="16" t="inlineStr"/>
      <c r="Q37" s="16" t="inlineStr"/>
      <c r="R37" t="inlineStr">
        <is>
          <t>finance</t>
        </is>
      </c>
      <c r="S37" t="inlineStr">
        <is>
          <t>rf</t>
        </is>
      </c>
      <c r="T37" t="inlineStr"/>
    </row>
    <row r="38">
      <c r="A38" t="n">
        <v>25</v>
      </c>
      <c r="B38" t="inlineStr">
        <is>
          <t>Levered beta</t>
        </is>
      </c>
      <c r="C38" t="inlineStr">
        <is>
          <t>x</t>
        </is>
      </c>
      <c r="D38" t="inlineStr">
        <is>
          <t>assumption</t>
        </is>
      </c>
      <c r="E38" s="20" t="n">
        <v>0.8</v>
      </c>
      <c r="F38" s="20" t="n">
        <v>1</v>
      </c>
      <c r="G38" s="20" t="n">
        <v>1.2</v>
      </c>
      <c r="H38" t="n">
        <v>1</v>
      </c>
      <c r="I38" s="16" t="inlineStr">
        <is>
          <t>ILLUSTRATIVE - replace (peer median, Bloomberg/WRDS)</t>
        </is>
      </c>
      <c r="J38" t="inlineStr">
        <is>
          <t>2026-01-01</t>
        </is>
      </c>
      <c r="K38" s="16" t="inlineStr">
        <is>
          <t>-</t>
        </is>
      </c>
      <c r="L38" t="inlineStr">
        <is>
          <t>F6</t>
        </is>
      </c>
      <c r="M38" s="17" t="n"/>
      <c r="N38" s="17" t="n"/>
      <c r="O38" s="17" t="n"/>
      <c r="P38" s="16" t="inlineStr"/>
      <c r="Q38" s="16" t="inlineStr"/>
      <c r="R38" t="inlineStr">
        <is>
          <t>finance</t>
        </is>
      </c>
      <c r="S38" t="inlineStr">
        <is>
          <t>beta</t>
        </is>
      </c>
      <c r="T38" t="inlineStr"/>
    </row>
    <row r="39">
      <c r="A39" t="n">
        <v>26</v>
      </c>
      <c r="B39" t="inlineStr">
        <is>
          <t>Equity risk premium</t>
        </is>
      </c>
      <c r="C39" t="inlineStr">
        <is>
          <t>%</t>
        </is>
      </c>
      <c r="D39" t="inlineStr">
        <is>
          <t>assumption</t>
        </is>
      </c>
      <c r="E39" s="18" t="n">
        <v>0.04</v>
      </c>
      <c r="F39" s="18" t="n">
        <v>0.045</v>
      </c>
      <c r="G39" s="18" t="n">
        <v>0.05</v>
      </c>
      <c r="H39" t="n">
        <v>1</v>
      </c>
      <c r="I39" s="16" t="inlineStr">
        <is>
          <t>ILLUSTRATIVE - replace (Damodaran ctryprem)</t>
        </is>
      </c>
      <c r="J39" t="inlineStr">
        <is>
          <t>2026-01-01</t>
        </is>
      </c>
      <c r="K39" s="16" t="inlineStr">
        <is>
          <t>-</t>
        </is>
      </c>
      <c r="L39" t="inlineStr">
        <is>
          <t>F6</t>
        </is>
      </c>
      <c r="M39" s="5" t="n"/>
      <c r="N39" s="5" t="n"/>
      <c r="O39" s="5" t="n"/>
      <c r="P39" s="16" t="inlineStr"/>
      <c r="Q39" s="16" t="inlineStr"/>
      <c r="R39" t="inlineStr">
        <is>
          <t>finance</t>
        </is>
      </c>
      <c r="S39" t="inlineStr">
        <is>
          <t>erp</t>
        </is>
      </c>
      <c r="T39" t="inlineStr"/>
    </row>
    <row r="40">
      <c r="A40" t="n">
        <v>27</v>
      </c>
      <c r="B40" t="inlineStr">
        <is>
          <t>Pre-tax cost of debt</t>
        </is>
      </c>
      <c r="C40" t="inlineStr">
        <is>
          <t>%</t>
        </is>
      </c>
      <c r="D40" t="inlineStr">
        <is>
          <t>assumption</t>
        </is>
      </c>
      <c r="E40" s="18" t="n">
        <v>0.04</v>
      </c>
      <c r="F40" s="18" t="n">
        <v>0.05</v>
      </c>
      <c r="G40" s="18" t="n">
        <v>0.06</v>
      </c>
      <c r="H40" t="n">
        <v>1</v>
      </c>
      <c r="I40" s="16" t="inlineStr">
        <is>
          <t>ILLUSTRATIVE - replace</t>
        </is>
      </c>
      <c r="J40" t="inlineStr">
        <is>
          <t>2026-01-01</t>
        </is>
      </c>
      <c r="K40" s="16" t="inlineStr">
        <is>
          <t>-</t>
        </is>
      </c>
      <c r="L40" t="inlineStr">
        <is>
          <t>F6</t>
        </is>
      </c>
      <c r="M40" s="5" t="n"/>
      <c r="N40" s="5" t="n"/>
      <c r="O40" s="5" t="n"/>
      <c r="P40" s="16" t="inlineStr"/>
      <c r="Q40" s="16" t="inlineStr"/>
      <c r="R40" t="inlineStr">
        <is>
          <t>finance</t>
        </is>
      </c>
      <c r="S40" t="inlineStr">
        <is>
          <t>kd</t>
        </is>
      </c>
      <c r="T40" t="inlineStr"/>
    </row>
    <row r="41">
      <c r="A41" t="n">
        <v>28</v>
      </c>
      <c r="B41" t="inlineStr">
        <is>
          <t>Debt weight D/(D+E)</t>
        </is>
      </c>
      <c r="C41" t="inlineStr">
        <is>
          <t>%</t>
        </is>
      </c>
      <c r="D41" t="inlineStr">
        <is>
          <t>assumption</t>
        </is>
      </c>
      <c r="E41" s="18" t="n">
        <v>0.2</v>
      </c>
      <c r="F41" s="18" t="n">
        <v>0.3</v>
      </c>
      <c r="G41" s="18" t="n">
        <v>0.4</v>
      </c>
      <c r="H41" t="n">
        <v>1</v>
      </c>
      <c r="I41" s="16" t="inlineStr">
        <is>
          <t>ILLUSTRATIVE - replace</t>
        </is>
      </c>
      <c r="J41" t="inlineStr">
        <is>
          <t>2026-01-01</t>
        </is>
      </c>
      <c r="K41" s="16" t="inlineStr">
        <is>
          <t>-</t>
        </is>
      </c>
      <c r="L41" t="inlineStr">
        <is>
          <t>F6</t>
        </is>
      </c>
      <c r="M41" s="5" t="n"/>
      <c r="N41" s="5" t="n"/>
      <c r="O41" s="5" t="n"/>
      <c r="P41" s="16" t="inlineStr"/>
      <c r="Q41" s="16" t="inlineStr"/>
      <c r="R41" t="inlineStr">
        <is>
          <t>finance</t>
        </is>
      </c>
      <c r="S41" t="inlineStr">
        <is>
          <t>wd</t>
        </is>
      </c>
      <c r="T41" t="inlineStr"/>
    </row>
    <row r="42">
      <c r="A42" t="n">
        <v>29</v>
      </c>
      <c r="B42" t="inlineStr">
        <is>
          <t>Terminal growth of incremental FCF after the horizon</t>
        </is>
      </c>
      <c r="C42" t="inlineStr">
        <is>
          <t>%</t>
        </is>
      </c>
      <c r="D42" t="inlineStr">
        <is>
          <t>assumption</t>
        </is>
      </c>
      <c r="E42" s="18" t="n">
        <v>-0.05</v>
      </c>
      <c r="F42" s="18" t="n">
        <v>-0.02</v>
      </c>
      <c r="G42" s="18" t="n">
        <v>0.01</v>
      </c>
      <c r="H42" t="n">
        <v>1</v>
      </c>
      <c r="I42" s="16" t="inlineStr">
        <is>
          <t>Modelling choice: effects fade 2%/yr after the horizon (low: 5% fade as competitors copy; high: +1%); Gordon growth model</t>
        </is>
      </c>
      <c r="J42" t="inlineStr">
        <is>
          <t>2026-01-01</t>
        </is>
      </c>
      <c r="K42" s="16" t="inlineStr">
        <is>
          <t>Damodaran, Investment Valuation (3rd ed.), ch. 12</t>
        </is>
      </c>
      <c r="L42" t="inlineStr">
        <is>
          <t>C3</t>
        </is>
      </c>
      <c r="M42" s="5" t="n"/>
      <c r="N42" s="5" t="n"/>
      <c r="O42" s="5" t="n"/>
      <c r="P42" s="16" t="inlineStr"/>
      <c r="Q42" s="16" t="inlineStr"/>
      <c r="R42" t="inlineStr">
        <is>
          <t>finance</t>
        </is>
      </c>
      <c r="S42" t="inlineStr">
        <is>
          <t>tv_g</t>
        </is>
      </c>
      <c r="T42" t="inlineStr"/>
    </row>
    <row r="43">
      <c r="A43" t="n">
        <v>30</v>
      </c>
      <c r="B43" t="inlineStr">
        <is>
          <t>Include terminal value (1 = yes, 0 = horizon only)</t>
        </is>
      </c>
      <c r="C43" t="inlineStr">
        <is>
          <t>switch</t>
        </is>
      </c>
      <c r="D43" t="inlineStr">
        <is>
          <t>control</t>
        </is>
      </c>
      <c r="E43" s="20" t="n">
        <v>1</v>
      </c>
      <c r="F43" s="20" t="n">
        <v>1</v>
      </c>
      <c r="G43" s="20" t="n">
        <v>1</v>
      </c>
      <c r="H43" t="n">
        <v>1</v>
      </c>
      <c r="I43" s="16" t="inlineStr">
        <is>
          <t>Modelling choice (horizon-only NPV is also reported)</t>
        </is>
      </c>
      <c r="J43" t="inlineStr">
        <is>
          <t>2026-01-01</t>
        </is>
      </c>
      <c r="K43" s="16" t="inlineStr">
        <is>
          <t>Outputs: headline results</t>
        </is>
      </c>
      <c r="L43" t="inlineStr">
        <is>
          <t>A1</t>
        </is>
      </c>
      <c r="M43" s="17" t="n"/>
      <c r="N43" s="17" t="n"/>
      <c r="O43" s="17" t="n"/>
      <c r="P43" s="16" t="inlineStr"/>
      <c r="Q43" s="16" t="inlineStr"/>
      <c r="R43" t="inlineStr">
        <is>
          <t>finance</t>
        </is>
      </c>
      <c r="S43" t="inlineStr">
        <is>
          <t>tv_on</t>
        </is>
      </c>
      <c r="T43" t="inlineStr"/>
    </row>
    <row r="44">
      <c r="A44" s="13" t="n"/>
      <c r="B44" s="14" t="inlineStr">
        <is>
          <t>Model settings</t>
        </is>
      </c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</row>
    <row r="45">
      <c r="A45" t="n">
        <v>31</v>
      </c>
      <c r="B45" t="inlineStr">
        <is>
          <t>First historical year shown</t>
        </is>
      </c>
      <c r="C45" t="inlineStr">
        <is>
          <t>year</t>
        </is>
      </c>
      <c r="D45" t="inlineStr">
        <is>
          <t>constant</t>
        </is>
      </c>
      <c r="E45" s="21" t="n">
        <v>2020</v>
      </c>
      <c r="F45" s="21" t="n">
        <v>2020</v>
      </c>
      <c r="G45" s="21" t="n">
        <v>2020</v>
      </c>
      <c r="H45" t="n">
        <v>1</v>
      </c>
      <c r="I45" s="16" t="inlineStr">
        <is>
          <t>Modelling convention (this model)</t>
        </is>
      </c>
      <c r="J45" t="inlineStr">
        <is>
          <t>2026-01-01</t>
        </is>
      </c>
      <c r="K45" s="16" t="inlineStr">
        <is>
          <t>Cover sheet</t>
        </is>
      </c>
      <c r="L45" t="inlineStr">
        <is>
          <t>A1</t>
        </is>
      </c>
      <c r="M45" s="22" t="n"/>
      <c r="N45" s="22" t="n"/>
      <c r="O45" s="22" t="n"/>
      <c r="P45" s="16" t="inlineStr"/>
      <c r="Q45" s="16" t="inlineStr"/>
      <c r="R45" t="inlineStr"/>
      <c r="S45" t="inlineStr">
        <is>
          <t>first_hist_year</t>
        </is>
      </c>
      <c r="T45" t="inlineStr"/>
    </row>
    <row r="46">
      <c r="A46" t="n">
        <v>32</v>
      </c>
      <c r="B46" t="inlineStr">
        <is>
          <t>Base year (last reported actuals)</t>
        </is>
      </c>
      <c r="C46" t="inlineStr">
        <is>
          <t>year</t>
        </is>
      </c>
      <c r="D46" t="inlineStr">
        <is>
          <t>constant</t>
        </is>
      </c>
      <c r="E46" s="21" t="n">
        <v>2024</v>
      </c>
      <c r="F46" s="21" t="n">
        <v>2024</v>
      </c>
      <c r="G46" s="21" t="n">
        <v>2024</v>
      </c>
      <c r="H46" t="n">
        <v>1</v>
      </c>
      <c r="I46" s="16" t="inlineStr">
        <is>
          <t>Modelling convention (this model)</t>
        </is>
      </c>
      <c r="J46" t="inlineStr">
        <is>
          <t>2026-01-01</t>
        </is>
      </c>
      <c r="K46" s="16" t="inlineStr">
        <is>
          <t>Cover sheet</t>
        </is>
      </c>
      <c r="L46" t="inlineStr">
        <is>
          <t>A1</t>
        </is>
      </c>
      <c r="M46" s="22" t="n"/>
      <c r="N46" s="22" t="n"/>
      <c r="O46" s="22" t="n"/>
      <c r="P46" s="16" t="inlineStr"/>
      <c r="Q46" s="16" t="inlineStr"/>
      <c r="R46" t="inlineStr"/>
      <c r="S46" t="inlineStr">
        <is>
          <t>base_year</t>
        </is>
      </c>
      <c r="T46" t="inlineStr"/>
    </row>
    <row r="47">
      <c r="A47" t="n">
        <v>33</v>
      </c>
      <c r="B47" t="inlineStr">
        <is>
          <t>Growth cap: max YoY growth of target revenue</t>
        </is>
      </c>
      <c r="C47" t="inlineStr">
        <is>
          <t>%</t>
        </is>
      </c>
      <c r="D47" t="inlineStr">
        <is>
          <t>constant</t>
        </is>
      </c>
      <c r="E47" s="18" t="n">
        <v>0.25</v>
      </c>
      <c r="F47" s="18" t="n">
        <v>0.25</v>
      </c>
      <c r="G47" s="18" t="n">
        <v>0.25</v>
      </c>
      <c r="H47" t="n">
        <v>1</v>
      </c>
      <c r="I47" s="16" t="inlineStr">
        <is>
          <t>Modelling convention (this model)</t>
        </is>
      </c>
      <c r="J47" t="inlineStr">
        <is>
          <t>2026-01-01</t>
        </is>
      </c>
      <c r="K47" s="16" t="inlineStr">
        <is>
          <t>Cover sheet</t>
        </is>
      </c>
      <c r="L47" t="inlineStr">
        <is>
          <t>A1</t>
        </is>
      </c>
      <c r="M47" s="5" t="n"/>
      <c r="N47" s="5" t="n"/>
      <c r="O47" s="5" t="n"/>
      <c r="P47" s="16" t="inlineStr"/>
      <c r="Q47" s="16" t="inlineStr"/>
      <c r="R47" t="inlineStr"/>
      <c r="S47" t="inlineStr">
        <is>
          <t>growth_cap</t>
        </is>
      </c>
      <c r="T47" t="inlineStr"/>
    </row>
    <row r="48">
      <c r="A48" t="n">
        <v>34</v>
      </c>
      <c r="B48" t="inlineStr">
        <is>
          <t>Tolerance: baseline vs reported revenue</t>
        </is>
      </c>
      <c r="C48" t="inlineStr">
        <is>
          <t>%</t>
        </is>
      </c>
      <c r="D48" t="inlineStr">
        <is>
          <t>constant</t>
        </is>
      </c>
      <c r="E48" s="18" t="n">
        <v>0.02</v>
      </c>
      <c r="F48" s="18" t="n">
        <v>0.02</v>
      </c>
      <c r="G48" s="18" t="n">
        <v>0.02</v>
      </c>
      <c r="H48" t="n">
        <v>1</v>
      </c>
      <c r="I48" s="16" t="inlineStr">
        <is>
          <t>Modelling convention (this model)</t>
        </is>
      </c>
      <c r="J48" t="inlineStr">
        <is>
          <t>2026-01-01</t>
        </is>
      </c>
      <c r="K48" s="16" t="inlineStr">
        <is>
          <t>Cover sheet</t>
        </is>
      </c>
      <c r="L48" t="inlineStr">
        <is>
          <t>A1</t>
        </is>
      </c>
      <c r="M48" s="5" t="n"/>
      <c r="N48" s="5" t="n"/>
      <c r="O48" s="5" t="n"/>
      <c r="P48" s="16" t="inlineStr"/>
      <c r="Q48" s="16" t="inlineStr"/>
      <c r="R48" t="inlineStr"/>
      <c r="S48" t="inlineStr">
        <is>
          <t>calib_tol</t>
        </is>
      </c>
      <c r="T48" t="inlineStr"/>
    </row>
    <row r="49">
      <c r="A49" t="n">
        <v>35</v>
      </c>
      <c r="B49" t="inlineStr">
        <is>
          <t>Tolerance: totals vs sum of parts</t>
        </is>
      </c>
      <c r="C49" t="inlineStr">
        <is>
          <t>abs</t>
        </is>
      </c>
      <c r="D49" t="inlineStr">
        <is>
          <t>constant</t>
        </is>
      </c>
      <c r="E49" s="25" t="n">
        <v>1e-06</v>
      </c>
      <c r="F49" s="25" t="n">
        <v>1e-06</v>
      </c>
      <c r="G49" s="25" t="n">
        <v>1e-06</v>
      </c>
      <c r="H49" t="n">
        <v>1</v>
      </c>
      <c r="I49" s="16" t="inlineStr">
        <is>
          <t>Modelling convention (this model)</t>
        </is>
      </c>
      <c r="J49" t="inlineStr">
        <is>
          <t>2026-01-01</t>
        </is>
      </c>
      <c r="K49" s="16" t="inlineStr">
        <is>
          <t>Cover sheet</t>
        </is>
      </c>
      <c r="L49" t="inlineStr">
        <is>
          <t>A1</t>
        </is>
      </c>
      <c r="M49" s="26" t="n"/>
      <c r="N49" s="26" t="n"/>
      <c r="O49" s="26" t="n"/>
      <c r="P49" s="16" t="inlineStr"/>
      <c r="Q49" s="16" t="inlineStr"/>
      <c r="R49" t="inlineStr"/>
      <c r="S49" t="inlineStr">
        <is>
          <t>sum_tol</t>
        </is>
      </c>
      <c r="T49" t="inlineStr"/>
    </row>
    <row r="50">
      <c r="A50" t="n">
        <v>36</v>
      </c>
      <c r="B50" t="inlineStr">
        <is>
          <t>Tornado tie-break step (keeps ranks unique when two swings are equal)</t>
        </is>
      </c>
      <c r="C50" t="inlineStr">
        <is>
          <t>abs</t>
        </is>
      </c>
      <c r="D50" t="inlineStr">
        <is>
          <t>constant</t>
        </is>
      </c>
      <c r="E50" s="25" t="n">
        <v>1e-09</v>
      </c>
      <c r="F50" s="25" t="n">
        <v>1e-09</v>
      </c>
      <c r="G50" s="25" t="n">
        <v>1e-09</v>
      </c>
      <c r="H50" t="n">
        <v>1</v>
      </c>
      <c r="I50" s="16" t="inlineStr">
        <is>
          <t>Modelling convention (this model)</t>
        </is>
      </c>
      <c r="J50" t="inlineStr">
        <is>
          <t>2026-01-01</t>
        </is>
      </c>
      <c r="K50" s="16" t="inlineStr">
        <is>
          <t>Cover sheet</t>
        </is>
      </c>
      <c r="L50" t="inlineStr">
        <is>
          <t>A1</t>
        </is>
      </c>
      <c r="M50" s="26" t="n"/>
      <c r="N50" s="26" t="n"/>
      <c r="O50" s="26" t="n"/>
      <c r="P50" s="16" t="inlineStr"/>
      <c r="Q50" s="16" t="inlineStr"/>
      <c r="R50" t="inlineStr"/>
      <c r="S50" t="inlineStr">
        <is>
          <t>tie_step</t>
        </is>
      </c>
      <c r="T50" t="inlineStr"/>
    </row>
    <row r="51">
      <c r="A51" t="n">
        <v>37</v>
      </c>
      <c r="B51" t="inlineStr">
        <is>
          <t>History band: lower percentile of YoY growth</t>
        </is>
      </c>
      <c r="C51" t="inlineStr">
        <is>
          <t>%</t>
        </is>
      </c>
      <c r="D51" t="inlineStr">
        <is>
          <t>constant</t>
        </is>
      </c>
      <c r="E51" s="18" t="n">
        <v>0.25</v>
      </c>
      <c r="F51" s="18" t="n">
        <v>0.25</v>
      </c>
      <c r="G51" s="18" t="n">
        <v>0.25</v>
      </c>
      <c r="H51" t="n">
        <v>1</v>
      </c>
      <c r="I51" s="16" t="inlineStr">
        <is>
          <t>Modelling convention (this model)</t>
        </is>
      </c>
      <c r="J51" t="inlineStr">
        <is>
          <t>2026-01-01</t>
        </is>
      </c>
      <c r="K51" s="16" t="inlineStr">
        <is>
          <t>Cover sheet</t>
        </is>
      </c>
      <c r="L51" t="inlineStr">
        <is>
          <t>A1</t>
        </is>
      </c>
      <c r="M51" s="5" t="n"/>
      <c r="N51" s="5" t="n"/>
      <c r="O51" s="5" t="n"/>
      <c r="P51" s="16" t="inlineStr"/>
      <c r="Q51" s="16" t="inlineStr"/>
      <c r="R51" t="inlineStr"/>
      <c r="S51" t="inlineStr">
        <is>
          <t>hist_p_low</t>
        </is>
      </c>
      <c r="T51" t="inlineStr"/>
    </row>
    <row r="52">
      <c r="A52" t="n">
        <v>38</v>
      </c>
      <c r="B52" t="inlineStr">
        <is>
          <t>History band: upper percentile of YoY growth</t>
        </is>
      </c>
      <c r="C52" t="inlineStr">
        <is>
          <t>%</t>
        </is>
      </c>
      <c r="D52" t="inlineStr">
        <is>
          <t>constant</t>
        </is>
      </c>
      <c r="E52" s="18" t="n">
        <v>0.75</v>
      </c>
      <c r="F52" s="18" t="n">
        <v>0.75</v>
      </c>
      <c r="G52" s="18" t="n">
        <v>0.75</v>
      </c>
      <c r="H52" t="n">
        <v>1</v>
      </c>
      <c r="I52" s="16" t="inlineStr">
        <is>
          <t>Modelling convention (this model)</t>
        </is>
      </c>
      <c r="J52" t="inlineStr">
        <is>
          <t>2026-01-01</t>
        </is>
      </c>
      <c r="K52" s="16" t="inlineStr">
        <is>
          <t>Cover sheet</t>
        </is>
      </c>
      <c r="L52" t="inlineStr">
        <is>
          <t>A1</t>
        </is>
      </c>
      <c r="M52" s="5" t="n"/>
      <c r="N52" s="5" t="n"/>
      <c r="O52" s="5" t="n"/>
      <c r="P52" s="16" t="inlineStr"/>
      <c r="Q52" s="16" t="inlineStr"/>
      <c r="R52" t="inlineStr"/>
      <c r="S52" t="inlineStr">
        <is>
          <t>hist_p_high</t>
        </is>
      </c>
      <c r="T52" t="inlineStr"/>
    </row>
    <row r="53">
      <c r="A53" t="n">
        <v>39</v>
      </c>
      <c r="B53" t="inlineStr">
        <is>
          <t>History band: tolerance around the band (baseline growth vs history)</t>
        </is>
      </c>
      <c r="C53" t="inlineStr">
        <is>
          <t>%</t>
        </is>
      </c>
      <c r="D53" t="inlineStr">
        <is>
          <t>constant</t>
        </is>
      </c>
      <c r="E53" s="18" t="n">
        <v>0.01</v>
      </c>
      <c r="F53" s="18" t="n">
        <v>0.01</v>
      </c>
      <c r="G53" s="18" t="n">
        <v>0.01</v>
      </c>
      <c r="H53" t="n">
        <v>1</v>
      </c>
      <c r="I53" s="16" t="inlineStr">
        <is>
          <t>Modelling convention (this model)</t>
        </is>
      </c>
      <c r="J53" t="inlineStr">
        <is>
          <t>2026-01-01</t>
        </is>
      </c>
      <c r="K53" s="16" t="inlineStr">
        <is>
          <t>Cover sheet</t>
        </is>
      </c>
      <c r="L53" t="inlineStr">
        <is>
          <t>A1</t>
        </is>
      </c>
      <c r="M53" s="5" t="n"/>
      <c r="N53" s="5" t="n"/>
      <c r="O53" s="5" t="n"/>
      <c r="P53" s="16" t="inlineStr"/>
      <c r="Q53" s="16" t="inlineStr"/>
      <c r="R53" t="inlineStr"/>
      <c r="S53" t="inlineStr">
        <is>
          <t>hist_tol</t>
        </is>
      </c>
      <c r="T5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50" customWidth="1" min="4" max="4"/>
    <col width="7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B1" s="6" t="inlineStr">
        <is>
          <t>Actuals - reported financials</t>
        </is>
      </c>
    </row>
    <row r="2">
      <c r="B2" s="7" t="inlineStr">
        <is>
          <t>Base year comes from reported accounts, never a press summary.</t>
        </is>
      </c>
    </row>
    <row r="5">
      <c r="A5" s="3" t="inlineStr">
        <is>
          <t>ID</t>
        </is>
      </c>
      <c r="B5" s="3" t="inlineStr">
        <is>
          <t>Item</t>
        </is>
      </c>
      <c r="C5" s="3" t="inlineStr">
        <is>
          <t>Unit</t>
        </is>
      </c>
      <c r="D5" s="3" t="inlineStr">
        <is>
          <t>Source</t>
        </is>
      </c>
      <c r="E5" s="3" t="inlineStr">
        <is>
          <t>Grade</t>
        </is>
      </c>
      <c r="F5" s="3" t="inlineStr">
        <is>
          <t>Date</t>
        </is>
      </c>
      <c r="G5" s="3">
        <f>Calculations!G3</f>
        <v/>
      </c>
      <c r="H5" s="3">
        <f>Calculations!H3</f>
        <v/>
      </c>
      <c r="I5" s="3">
        <f>Calculations!I3</f>
        <v/>
      </c>
      <c r="J5" s="3">
        <f>Calculations!J3</f>
        <v/>
      </c>
      <c r="K5" s="3">
        <f>Calculations!K3</f>
        <v/>
      </c>
      <c r="L5" s="3">
        <f>Calculations!L3</f>
        <v/>
      </c>
      <c r="M5" s="3">
        <f>Calculations!M3</f>
        <v/>
      </c>
      <c r="N5" s="3">
        <f>Calculations!N3</f>
        <v/>
      </c>
      <c r="O5" s="3">
        <f>Calculations!O3</f>
        <v/>
      </c>
      <c r="P5" s="3">
        <f>Calculations!P3</f>
        <v/>
      </c>
    </row>
    <row r="6">
      <c r="A6" t="inlineStr">
        <is>
          <t>rev</t>
        </is>
      </c>
      <c r="B6" t="inlineStr">
        <is>
          <t>Revenue (reported)</t>
        </is>
      </c>
      <c r="C6" t="inlineStr">
        <is>
          <t>EURm</t>
        </is>
      </c>
      <c r="D6" t="inlineStr">
        <is>
          <t>ILLUSTRATIVE - replace with SABI/Orbis or the annual report</t>
        </is>
      </c>
      <c r="E6" t="inlineStr">
        <is>
          <t>F6</t>
        </is>
      </c>
      <c r="F6" t="inlineStr">
        <is>
          <t>2026-01-01</t>
        </is>
      </c>
      <c r="G6" s="23" t="n">
        <v>88.90000000000001</v>
      </c>
      <c r="H6" s="23" t="n">
        <v>91.5</v>
      </c>
      <c r="I6" s="23" t="n">
        <v>94.3</v>
      </c>
      <c r="J6" s="23" t="n">
        <v>97.09999999999999</v>
      </c>
      <c r="K6" s="23" t="n">
        <v>100</v>
      </c>
    </row>
    <row r="7">
      <c r="A7" t="inlineStr">
        <is>
          <t>ebitda_h</t>
        </is>
      </c>
      <c r="B7" t="inlineStr">
        <is>
          <t>EBITDA (reported)</t>
        </is>
      </c>
      <c r="C7" t="inlineStr">
        <is>
          <t>EURm</t>
        </is>
      </c>
      <c r="D7" t="inlineStr">
        <is>
          <t>ILLUSTRATIVE - replace with SABI/Orbis or the annual report</t>
        </is>
      </c>
      <c r="E7" t="inlineStr">
        <is>
          <t>F6</t>
        </is>
      </c>
      <c r="F7" t="inlineStr">
        <is>
          <t>2026-01-01</t>
        </is>
      </c>
      <c r="G7" s="23" t="n">
        <v>10.2</v>
      </c>
      <c r="H7" s="23" t="n">
        <v>10.8</v>
      </c>
      <c r="I7" s="23" t="n">
        <v>11.5</v>
      </c>
      <c r="J7" s="23" t="n">
        <v>12.1</v>
      </c>
      <c r="K7" s="23" t="n">
        <v>13</v>
      </c>
    </row>
    <row r="8">
      <c r="A8" t="inlineStr">
        <is>
          <t>cust_h</t>
        </is>
      </c>
      <c r="B8" t="inlineStr">
        <is>
          <t>Customers (reported)</t>
        </is>
      </c>
      <c r="C8" t="inlineStr">
        <is>
          <t>m</t>
        </is>
      </c>
      <c r="D8" t="inlineStr">
        <is>
          <t>ILLUSTRATIVE - replace (annual report KPIs / case pack)</t>
        </is>
      </c>
      <c r="E8" t="inlineStr">
        <is>
          <t>F6</t>
        </is>
      </c>
      <c r="F8" t="inlineStr">
        <is>
          <t>2026-01-01</t>
        </is>
      </c>
      <c r="G8" s="20" t="n">
        <v>0.48</v>
      </c>
      <c r="H8" s="20" t="n">
        <v>0.486</v>
      </c>
      <c r="I8" s="20" t="n">
        <v>0.49</v>
      </c>
      <c r="J8" s="20" t="n">
        <v>0.495</v>
      </c>
      <c r="K8" s="20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9"/>
  <sheetViews>
    <sheetView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14" customWidth="1" min="4" max="4"/>
    <col width="14" customWidth="1" min="5" max="5"/>
    <col width="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B1" s="6" t="inlineStr">
        <is>
          <t>Calculations</t>
        </is>
      </c>
    </row>
    <row r="2">
      <c r="B2" s="7" t="inlineStr">
        <is>
          <t>No typed numbers on this sheet: every cell is a formula fed by Inputs, Actuals or the Sensitivity controls.</t>
        </is>
      </c>
    </row>
    <row r="3">
      <c r="B3" s="3" t="inlineStr">
        <is>
          <t>Period</t>
        </is>
      </c>
      <c r="G3" s="27">
        <f>G4&amp;IF(G4&lt;=Inputs!$F$46,"A","E")</f>
        <v/>
      </c>
      <c r="H3" s="27">
        <f>H4&amp;IF(H4&lt;=Inputs!$F$46,"A","E")</f>
        <v/>
      </c>
      <c r="I3" s="27">
        <f>I4&amp;IF(I4&lt;=Inputs!$F$46,"A","E")</f>
        <v/>
      </c>
      <c r="J3" s="27">
        <f>J4&amp;IF(J4&lt;=Inputs!$F$46,"A","E")</f>
        <v/>
      </c>
      <c r="K3" s="27">
        <f>K4&amp;IF(K4&lt;=Inputs!$F$46,"A","E")</f>
        <v/>
      </c>
      <c r="L3" s="27">
        <f>L4&amp;IF(L4&lt;=Inputs!$F$46,"A","E")</f>
        <v/>
      </c>
      <c r="M3" s="27">
        <f>M4&amp;IF(M4&lt;=Inputs!$F$46,"A","E")</f>
        <v/>
      </c>
      <c r="N3" s="27">
        <f>N4&amp;IF(N4&lt;=Inputs!$F$46,"A","E")</f>
        <v/>
      </c>
      <c r="O3" s="27">
        <f>O4&amp;IF(O4&lt;=Inputs!$F$46,"A","E")</f>
        <v/>
      </c>
      <c r="P3" s="27">
        <f>P4&amp;IF(P4&lt;=Inputs!$F$46,"A","E")</f>
        <v/>
      </c>
    </row>
    <row r="4">
      <c r="B4" s="3" t="inlineStr">
        <is>
          <t>Year</t>
        </is>
      </c>
      <c r="G4" s="28">
        <f>Inputs!$F$45</f>
        <v/>
      </c>
      <c r="H4" s="28">
        <f>G4+1</f>
        <v/>
      </c>
      <c r="I4" s="28">
        <f>H4+1</f>
        <v/>
      </c>
      <c r="J4" s="28">
        <f>I4+1</f>
        <v/>
      </c>
      <c r="K4" s="28">
        <f>J4+1</f>
        <v/>
      </c>
      <c r="L4" s="28">
        <f>K4+1</f>
        <v/>
      </c>
      <c r="M4" s="28">
        <f>L4+1</f>
        <v/>
      </c>
      <c r="N4" s="28">
        <f>M4+1</f>
        <v/>
      </c>
      <c r="O4" s="28">
        <f>N4+1</f>
        <v/>
      </c>
      <c r="P4" s="28">
        <f>O4+1</f>
        <v/>
      </c>
    </row>
    <row r="5">
      <c r="B5" t="inlineStr">
        <is>
          <t>Years from base year (t)</t>
        </is>
      </c>
      <c r="G5" s="22">
        <f>G4-Inputs!$F$46</f>
        <v/>
      </c>
      <c r="H5" s="22">
        <f>H4-Inputs!$F$46</f>
        <v/>
      </c>
      <c r="I5" s="22">
        <f>I4-Inputs!$F$46</f>
        <v/>
      </c>
      <c r="J5" s="22">
        <f>J4-Inputs!$F$46</f>
        <v/>
      </c>
      <c r="K5" s="22">
        <f>K4-Inputs!$F$46</f>
        <v/>
      </c>
      <c r="L5" s="22">
        <f>L4-Inputs!$F$46</f>
        <v/>
      </c>
      <c r="M5" s="22">
        <f>M4-Inputs!$F$46</f>
        <v/>
      </c>
      <c r="N5" s="22">
        <f>N4-Inputs!$F$46</f>
        <v/>
      </c>
      <c r="O5" s="22">
        <f>O4-Inputs!$F$46</f>
        <v/>
      </c>
      <c r="P5" s="22">
        <f>P4-Inputs!$F$46</f>
        <v/>
      </c>
    </row>
    <row r="6"/>
    <row r="7">
      <c r="B7" s="14" t="inlineStr">
        <is>
          <t>0. Reported history: growth, CAGR, quartiles and margins (feeds history-linked inputs)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>
      <c r="A8" t="inlineStr">
        <is>
          <t>rev</t>
        </is>
      </c>
      <c r="B8" t="inlineStr">
        <is>
          <t>Revenue (reported): YoY growth</t>
        </is>
      </c>
      <c r="C8" t="inlineStr">
        <is>
          <t>%</t>
        </is>
      </c>
      <c r="H8" s="5">
        <f>Actuals!H6/Actuals!G6-1</f>
        <v/>
      </c>
      <c r="I8" s="5">
        <f>Actuals!I6/Actuals!H6-1</f>
        <v/>
      </c>
      <c r="J8" s="5">
        <f>Actuals!J6/Actuals!I6-1</f>
        <v/>
      </c>
      <c r="K8" s="5">
        <f>Actuals!K6/Actuals!J6-1</f>
        <v/>
      </c>
    </row>
    <row r="9">
      <c r="B9" t="inlineStr">
        <is>
          <t>Revenue (reported): CAGR 2020-2024</t>
        </is>
      </c>
      <c r="C9" t="inlineStr">
        <is>
          <t>%</t>
        </is>
      </c>
      <c r="E9" s="29">
        <f>(Actuals!K6/Actuals!G6)^(1/(K$4-G$4))-1</f>
        <v/>
      </c>
    </row>
    <row r="10">
      <c r="B10" t="inlineStr">
        <is>
          <t>Revenue (reported): median YoY growth</t>
        </is>
      </c>
      <c r="C10" t="inlineStr">
        <is>
          <t>%</t>
        </is>
      </c>
      <c r="E10" s="29">
        <f>MEDIAN(H8:K8)</f>
        <v/>
      </c>
    </row>
    <row r="11">
      <c r="B11" t="inlineStr">
        <is>
          <t>Revenue (reported): YoY growth, lower percentile</t>
        </is>
      </c>
      <c r="C11" t="inlineStr">
        <is>
          <t>%</t>
        </is>
      </c>
      <c r="E11" s="29">
        <f>PERCENTILE(H8:K8,Inputs!$F$51)</f>
        <v/>
      </c>
    </row>
    <row r="12">
      <c r="B12" t="inlineStr">
        <is>
          <t>Revenue (reported): YoY growth, upper percentile</t>
        </is>
      </c>
      <c r="C12" t="inlineStr">
        <is>
          <t>%</t>
        </is>
      </c>
      <c r="E12" s="29">
        <f>PERCENTILE(H8:K8,Inputs!$F$52)</f>
        <v/>
      </c>
    </row>
    <row r="14">
      <c r="A14" t="inlineStr">
        <is>
          <t>ebitda_h</t>
        </is>
      </c>
      <c r="B14" t="inlineStr">
        <is>
          <t>EBITDA (reported): YoY growth</t>
        </is>
      </c>
      <c r="C14" t="inlineStr">
        <is>
          <t>%</t>
        </is>
      </c>
      <c r="H14" s="5">
        <f>Actuals!H7/Actuals!G7-1</f>
        <v/>
      </c>
      <c r="I14" s="5">
        <f>Actuals!I7/Actuals!H7-1</f>
        <v/>
      </c>
      <c r="J14" s="5">
        <f>Actuals!J7/Actuals!I7-1</f>
        <v/>
      </c>
      <c r="K14" s="5">
        <f>Actuals!K7/Actuals!J7-1</f>
        <v/>
      </c>
    </row>
    <row r="15">
      <c r="B15" t="inlineStr">
        <is>
          <t>EBITDA (reported): CAGR 2020-2024</t>
        </is>
      </c>
      <c r="C15" t="inlineStr">
        <is>
          <t>%</t>
        </is>
      </c>
      <c r="E15" s="29">
        <f>(Actuals!K7/Actuals!G7)^(1/(K$4-G$4))-1</f>
        <v/>
      </c>
    </row>
    <row r="16">
      <c r="B16" t="inlineStr">
        <is>
          <t>EBITDA (reported): median YoY growth</t>
        </is>
      </c>
      <c r="C16" t="inlineStr">
        <is>
          <t>%</t>
        </is>
      </c>
      <c r="E16" s="29">
        <f>MEDIAN(H14:K14)</f>
        <v/>
      </c>
    </row>
    <row r="17">
      <c r="B17" t="inlineStr">
        <is>
          <t>EBITDA (reported): YoY growth, lower percentile</t>
        </is>
      </c>
      <c r="C17" t="inlineStr">
        <is>
          <t>%</t>
        </is>
      </c>
      <c r="E17" s="29">
        <f>PERCENTILE(H14:K14,Inputs!$F$51)</f>
        <v/>
      </c>
    </row>
    <row r="18">
      <c r="B18" t="inlineStr">
        <is>
          <t>EBITDA (reported): YoY growth, upper percentile</t>
        </is>
      </c>
      <c r="C18" t="inlineStr">
        <is>
          <t>%</t>
        </is>
      </c>
      <c r="E18" s="29">
        <f>PERCENTILE(H14:K14,Inputs!$F$52)</f>
        <v/>
      </c>
    </row>
    <row r="19">
      <c r="A19" t="inlineStr">
        <is>
          <t>ebitda_h</t>
        </is>
      </c>
      <c r="B19" t="inlineStr">
        <is>
          <t>EBITDA (reported): % of revenue</t>
        </is>
      </c>
      <c r="C19" t="inlineStr">
        <is>
          <t>%</t>
        </is>
      </c>
      <c r="G19" s="5">
        <f>Actuals!G7/Actuals!G6</f>
        <v/>
      </c>
      <c r="H19" s="5">
        <f>Actuals!H7/Actuals!H6</f>
        <v/>
      </c>
      <c r="I19" s="5">
        <f>Actuals!I7/Actuals!I6</f>
        <v/>
      </c>
      <c r="J19" s="5">
        <f>Actuals!J7/Actuals!J6</f>
        <v/>
      </c>
      <c r="K19" s="5">
        <f>Actuals!K7/Actuals!K6</f>
        <v/>
      </c>
    </row>
    <row r="20">
      <c r="B20" t="inlineStr">
        <is>
          <t>EBITDA (reported): median % of revenue</t>
        </is>
      </c>
      <c r="C20" t="inlineStr">
        <is>
          <t>%</t>
        </is>
      </c>
      <c r="E20" s="29">
        <f>MEDIAN(G19:K19)</f>
        <v/>
      </c>
    </row>
    <row r="21">
      <c r="B21" t="inlineStr">
        <is>
          <t>EBITDA (reported): % of revenue, lower percentile</t>
        </is>
      </c>
      <c r="C21" t="inlineStr">
        <is>
          <t>%</t>
        </is>
      </c>
      <c r="E21" s="29">
        <f>PERCENTILE(G19:K19,Inputs!$F$51)</f>
        <v/>
      </c>
    </row>
    <row r="22">
      <c r="B22" t="inlineStr">
        <is>
          <t>EBITDA (reported): % of revenue, upper percentile</t>
        </is>
      </c>
      <c r="C22" t="inlineStr">
        <is>
          <t>%</t>
        </is>
      </c>
      <c r="E22" s="29">
        <f>PERCENTILE(G19:K19,Inputs!$F$52)</f>
        <v/>
      </c>
    </row>
    <row r="24">
      <c r="A24" t="inlineStr">
        <is>
          <t>cust_h</t>
        </is>
      </c>
      <c r="B24" t="inlineStr">
        <is>
          <t>Customers (reported): YoY growth</t>
        </is>
      </c>
      <c r="C24" t="inlineStr">
        <is>
          <t>%</t>
        </is>
      </c>
      <c r="H24" s="5">
        <f>Actuals!H8/Actuals!G8-1</f>
        <v/>
      </c>
      <c r="I24" s="5">
        <f>Actuals!I8/Actuals!H8-1</f>
        <v/>
      </c>
      <c r="J24" s="5">
        <f>Actuals!J8/Actuals!I8-1</f>
        <v/>
      </c>
      <c r="K24" s="5">
        <f>Actuals!K8/Actuals!J8-1</f>
        <v/>
      </c>
    </row>
    <row r="25">
      <c r="B25" t="inlineStr">
        <is>
          <t>Customers (reported): CAGR 2020-2024</t>
        </is>
      </c>
      <c r="C25" t="inlineStr">
        <is>
          <t>%</t>
        </is>
      </c>
      <c r="E25" s="29">
        <f>(Actuals!K8/Actuals!G8)^(1/(K$4-G$4))-1</f>
        <v/>
      </c>
    </row>
    <row r="26">
      <c r="B26" t="inlineStr">
        <is>
          <t>Customers (reported): median YoY growth</t>
        </is>
      </c>
      <c r="C26" t="inlineStr">
        <is>
          <t>%</t>
        </is>
      </c>
      <c r="E26" s="29">
        <f>MEDIAN(H24:K24)</f>
        <v/>
      </c>
    </row>
    <row r="27">
      <c r="B27" t="inlineStr">
        <is>
          <t>Customers (reported): YoY growth, lower percentile</t>
        </is>
      </c>
      <c r="C27" t="inlineStr">
        <is>
          <t>%</t>
        </is>
      </c>
      <c r="E27" s="29">
        <f>PERCENTILE(H24:K24,Inputs!$F$51)</f>
        <v/>
      </c>
    </row>
    <row r="28">
      <c r="B28" t="inlineStr">
        <is>
          <t>Customers (reported): YoY growth, upper percentile</t>
        </is>
      </c>
      <c r="C28" t="inlineStr">
        <is>
          <t>%</t>
        </is>
      </c>
      <c r="E28" s="29">
        <f>PERCENTILE(H24:K24,Inputs!$F$52)</f>
        <v/>
      </c>
    </row>
    <row r="30">
      <c r="B30" s="14" t="inlineStr">
        <is>
          <t>1. Live inputs (Base case unless a scenario, tornado or sensitivity switch is set)</t>
        </is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</row>
    <row r="31">
      <c r="A31" t="inlineStr">
        <is>
          <t>cust0</t>
        </is>
      </c>
      <c r="B31" t="inlineStr">
        <is>
          <t>Customers, base year</t>
        </is>
      </c>
      <c r="C31" t="inlineStr">
        <is>
          <t>m</t>
        </is>
      </c>
      <c r="D31" t="inlineStr">
        <is>
          <t>Inputs row 7</t>
        </is>
      </c>
      <c r="E31" s="17">
        <f>Inputs!$F$7</f>
        <v/>
      </c>
    </row>
    <row r="32">
      <c r="A32" t="inlineStr">
        <is>
          <t>cust_g</t>
        </is>
      </c>
      <c r="B32" t="inlineStr">
        <is>
          <t>Baseline growth in customers</t>
        </is>
      </c>
      <c r="C32" t="inlineStr">
        <is>
          <t>%</t>
        </is>
      </c>
      <c r="D32" t="inlineStr">
        <is>
          <t>Inputs row 8</t>
        </is>
      </c>
      <c r="E32" s="5">
        <f>IF(Sensitivity!$E$6=Inputs!$A$8,Inputs!$G$8,IF(Sensitivity!$E$6=-Inputs!$A$8,Inputs!$E$8,CHOOSE(Sensitivity!$E$5,IF(Inputs!$H$8&gt;0,Inputs!$E$8,Inputs!$G$8),Inputs!$F$8,IF(Inputs!$H$8&gt;0,Inputs!$G$8,Inputs!$E$8))))</f>
        <v/>
      </c>
    </row>
    <row r="33">
      <c r="A33" t="inlineStr">
        <is>
          <t>market</t>
        </is>
      </c>
      <c r="B33" t="inlineStr">
        <is>
          <t>Ceiling: addressable customers</t>
        </is>
      </c>
      <c r="C33" t="inlineStr">
        <is>
          <t>m</t>
        </is>
      </c>
      <c r="D33" t="inlineStr">
        <is>
          <t>Inputs row 13</t>
        </is>
      </c>
      <c r="E33" s="17">
        <f>Inputs!$F$13</f>
        <v/>
      </c>
    </row>
    <row r="34">
      <c r="A34" t="inlineStr">
        <is>
          <t>market_g</t>
        </is>
      </c>
      <c r="B34" t="inlineStr">
        <is>
          <t>Growth in addressable customers</t>
        </is>
      </c>
      <c r="C34" t="inlineStr">
        <is>
          <t>%</t>
        </is>
      </c>
      <c r="D34" t="inlineStr">
        <is>
          <t>Inputs row 14</t>
        </is>
      </c>
      <c r="E34" s="5">
        <f>IF(Sensitivity!$E$6=Inputs!$A$14,Inputs!$G$14,IF(Sensitivity!$E$6=-Inputs!$A$14,Inputs!$E$14,CHOOSE(Sensitivity!$E$5,IF(Inputs!$H$14&gt;0,Inputs!$E$14,Inputs!$G$14),Inputs!$F$14,IF(Inputs!$H$14&gt;0,Inputs!$G$14,Inputs!$E$14))))</f>
        <v/>
      </c>
    </row>
    <row r="35">
      <c r="A35" t="inlineStr">
        <is>
          <t>freq0</t>
        </is>
      </c>
      <c r="B35" t="inlineStr">
        <is>
          <t>Purchases per customer per year</t>
        </is>
      </c>
      <c r="C35" t="inlineStr">
        <is>
          <t>x</t>
        </is>
      </c>
      <c r="D35" t="inlineStr">
        <is>
          <t>Inputs row 9</t>
        </is>
      </c>
      <c r="E35" s="17">
        <f>Inputs!$F$9</f>
        <v/>
      </c>
    </row>
    <row r="36">
      <c r="A36" t="inlineStr">
        <is>
          <t>ticket0</t>
        </is>
      </c>
      <c r="B36" t="inlineStr">
        <is>
          <t>Average ticket, base year</t>
        </is>
      </c>
      <c r="C36" t="inlineStr">
        <is>
          <t>EUR</t>
        </is>
      </c>
      <c r="D36" t="inlineStr">
        <is>
          <t>Inputs row 10</t>
        </is>
      </c>
      <c r="E36" s="17">
        <f>Inputs!$F$10</f>
        <v/>
      </c>
    </row>
    <row r="37">
      <c r="A37" t="inlineStr">
        <is>
          <t>infl</t>
        </is>
      </c>
      <c r="B37" t="inlineStr">
        <is>
          <t>Price inflation</t>
        </is>
      </c>
      <c r="C37" t="inlineStr">
        <is>
          <t>%</t>
        </is>
      </c>
      <c r="D37" t="inlineStr">
        <is>
          <t>Inputs row 11</t>
        </is>
      </c>
      <c r="E37" s="5">
        <f>IF(Sensitivity!$E$6=Inputs!$A$11,Inputs!$G$11,IF(Sensitivity!$E$6=-Inputs!$A$11,Inputs!$E$11,CHOOSE(Sensitivity!$E$5,IF(Inputs!$H$11&gt;0,Inputs!$E$11,Inputs!$G$11),Inputs!$F$11,IF(Inputs!$H$11&gt;0,Inputs!$G$11,Inputs!$E$11))))</f>
        <v/>
      </c>
    </row>
    <row r="38">
      <c r="A38" t="inlineStr">
        <is>
          <t>to_m</t>
        </is>
      </c>
      <c r="B38" t="inlineStr">
        <is>
          <t>Unit conversion: EUR to EURm with customers in millions</t>
        </is>
      </c>
      <c r="C38" t="inlineStr">
        <is>
          <t>x</t>
        </is>
      </c>
      <c r="D38" t="inlineStr">
        <is>
          <t>Inputs row 16</t>
        </is>
      </c>
      <c r="E38" s="17">
        <f>Inputs!$F$16</f>
        <v/>
      </c>
    </row>
    <row r="39">
      <c r="A39" t="inlineStr">
        <is>
          <t>a_up</t>
        </is>
      </c>
      <c r="B39" t="inlineStr">
        <is>
          <t>Pillar A: peak uplift in customers</t>
        </is>
      </c>
      <c r="C39" t="inlineStr">
        <is>
          <t>%</t>
        </is>
      </c>
      <c r="D39" t="inlineStr">
        <is>
          <t>Inputs row 18</t>
        </is>
      </c>
      <c r="E39" s="5">
        <f>IF(Sensitivity!$E$6=Inputs!$A$18,Inputs!$G$18,IF(Sensitivity!$E$6=-Inputs!$A$18,Inputs!$E$18,CHOOSE(Sensitivity!$E$5,IF(Inputs!$H$18&gt;0,Inputs!$E$18,Inputs!$G$18),Inputs!$F$18,IF(Inputs!$H$18&gt;0,Inputs!$G$18,Inputs!$E$18))))</f>
        <v/>
      </c>
    </row>
    <row r="40">
      <c r="A40" t="inlineStr">
        <is>
          <t>b_up</t>
        </is>
      </c>
      <c r="B40" t="inlineStr">
        <is>
          <t>Pillar B: peak uplift in purchase frequency</t>
        </is>
      </c>
      <c r="C40" t="inlineStr">
        <is>
          <t>%</t>
        </is>
      </c>
      <c r="D40" t="inlineStr">
        <is>
          <t>Inputs row 24</t>
        </is>
      </c>
      <c r="E40" s="5">
        <f>IF(Sensitivity!$E$6=Inputs!$A$24,Inputs!$G$24,IF(Sensitivity!$E$6=-Inputs!$A$24,Inputs!$E$24,CHOOSE(Sensitivity!$E$5,IF(Inputs!$H$24&gt;0,Inputs!$E$24,Inputs!$G$24),Inputs!$F$24,IF(Inputs!$H$24&gt;0,Inputs!$G$24,Inputs!$E$24))))</f>
        <v/>
      </c>
    </row>
    <row r="41">
      <c r="A41" t="inlineStr">
        <is>
          <t>c_up</t>
        </is>
      </c>
      <c r="B41" t="inlineStr">
        <is>
          <t>Pillar C: peak uplift in average ticket</t>
        </is>
      </c>
      <c r="C41" t="inlineStr">
        <is>
          <t>%</t>
        </is>
      </c>
      <c r="D41" t="inlineStr">
        <is>
          <t>Inputs row 27</t>
        </is>
      </c>
      <c r="E41" s="5">
        <f>IF(ISNUMBER(Sensitivity!$E$7),Sensitivity!$E$7,IF(Sensitivity!$E$6=Inputs!$A$27,Inputs!$G$27,IF(Sensitivity!$E$6=-Inputs!$A$27,Inputs!$E$27,CHOOSE(Sensitivity!$E$5,IF(Inputs!$H$27&gt;0,Inputs!$E$27,Inputs!$G$27),Inputs!$F$27,IF(Inputs!$H$27&gt;0,Inputs!$G$27,Inputs!$E$27)))))</f>
        <v/>
      </c>
    </row>
    <row r="42">
      <c r="A42" t="inlineStr">
        <is>
          <t>decay</t>
        </is>
      </c>
      <c r="B42" t="inlineStr">
        <is>
          <t>Annual erosion of initiative effects</t>
        </is>
      </c>
      <c r="C42" t="inlineStr">
        <is>
          <t>%</t>
        </is>
      </c>
      <c r="D42" t="inlineStr">
        <is>
          <t>Inputs row 19</t>
        </is>
      </c>
      <c r="E42" s="5">
        <f>IF(Sensitivity!$E$6=Inputs!$A$19,Inputs!$G$19,IF(Sensitivity!$E$6=-Inputs!$A$19,Inputs!$E$19,CHOOSE(Sensitivity!$E$5,IF(Inputs!$H$19&gt;0,Inputs!$E$19,Inputs!$G$19),Inputs!$F$19,IF(Inputs!$H$19&gt;0,Inputs!$G$19,Inputs!$E$19))))</f>
        <v/>
      </c>
    </row>
    <row r="43">
      <c r="A43" t="inlineStr">
        <is>
          <t>bass_p</t>
        </is>
      </c>
      <c r="B43" t="inlineStr">
        <is>
          <t>Bass p</t>
        </is>
      </c>
      <c r="C43" t="inlineStr">
        <is>
          <t>x</t>
        </is>
      </c>
      <c r="D43" t="inlineStr">
        <is>
          <t>Inputs row 20</t>
        </is>
      </c>
      <c r="E43" s="17">
        <f>IF(ISNUMBER(Sensitivity!$E$10),Sensitivity!$E$10,IF(Sensitivity!$E$6=Inputs!$A$20,Inputs!$G$20,IF(Sensitivity!$E$6=-Inputs!$A$20,Inputs!$E$20,CHOOSE(Sensitivity!$E$5,IF(Inputs!$H$20&gt;0,Inputs!$E$20,Inputs!$G$20),Inputs!$F$20,IF(Inputs!$H$20&gt;0,Inputs!$G$20,Inputs!$E$20)))))</f>
        <v/>
      </c>
    </row>
    <row r="44">
      <c r="A44" t="inlineStr">
        <is>
          <t>bass_q</t>
        </is>
      </c>
      <c r="B44" t="inlineStr">
        <is>
          <t>Bass q</t>
        </is>
      </c>
      <c r="C44" t="inlineStr">
        <is>
          <t>x</t>
        </is>
      </c>
      <c r="D44" t="inlineStr">
        <is>
          <t>Inputs row 21</t>
        </is>
      </c>
      <c r="E44" s="17">
        <f>IF(Sensitivity!$E$6=Inputs!$A$21,Inputs!$G$21,IF(Sensitivity!$E$6=-Inputs!$A$21,Inputs!$E$21,CHOOSE(Sensitivity!$E$5,IF(Inputs!$H$21&gt;0,Inputs!$E$21,Inputs!$G$21),Inputs!$F$21,IF(Inputs!$H$21&gt;0,Inputs!$G$21,Inputs!$E$21))))</f>
        <v/>
      </c>
    </row>
    <row r="45">
      <c r="A45" t="inlineStr">
        <is>
          <t>c_ytp</t>
        </is>
      </c>
      <c r="B45" t="inlineStr">
        <is>
          <t>Pillar C: years to full effect (linear ramp)</t>
        </is>
      </c>
      <c r="C45" t="inlineStr">
        <is>
          <t>years</t>
        </is>
      </c>
      <c r="D45" t="inlineStr">
        <is>
          <t>Inputs row 28</t>
        </is>
      </c>
      <c r="E45" s="17">
        <f>IF(Sensitivity!$E$6=Inputs!$A$28,Inputs!$G$28,IF(Sensitivity!$E$6=-Inputs!$A$28,Inputs!$E$28,CHOOSE(Sensitivity!$E$5,IF(Inputs!$H$28&gt;0,Inputs!$E$28,Inputs!$G$28),Inputs!$F$28,IF(Inputs!$H$28&gt;0,Inputs!$G$28,Inputs!$E$28))))</f>
        <v/>
      </c>
    </row>
    <row r="46">
      <c r="A46" t="inlineStr">
        <is>
          <t>a_opex</t>
        </is>
      </c>
      <c r="B46" t="inlineStr">
        <is>
          <t>Pillar A: annual cost</t>
        </is>
      </c>
      <c r="C46" t="inlineStr">
        <is>
          <t>EURm</t>
        </is>
      </c>
      <c r="D46" t="inlineStr">
        <is>
          <t>Inputs row 31</t>
        </is>
      </c>
      <c r="E46" s="24">
        <f>IF(Sensitivity!$E$6=Inputs!$A$31,Inputs!$G$31,IF(Sensitivity!$E$6=-Inputs!$A$31,Inputs!$E$31,CHOOSE(Sensitivity!$E$5,IF(Inputs!$H$31&gt;0,Inputs!$E$31,Inputs!$G$31),Inputs!$F$31,IF(Inputs!$H$31&gt;0,Inputs!$G$31,Inputs!$E$31))))</f>
        <v/>
      </c>
    </row>
    <row r="47">
      <c r="A47" t="inlineStr">
        <is>
          <t>b_capex</t>
        </is>
      </c>
      <c r="B47" t="inlineStr">
        <is>
          <t>Pillar B: launch investment</t>
        </is>
      </c>
      <c r="C47" t="inlineStr">
        <is>
          <t>EURm</t>
        </is>
      </c>
      <c r="D47" t="inlineStr">
        <is>
          <t>Inputs row 32</t>
        </is>
      </c>
      <c r="E47" s="24">
        <f>IF(Sensitivity!$E$6=Inputs!$A$32,Inputs!$G$32,IF(Sensitivity!$E$6=-Inputs!$A$32,Inputs!$E$32,CHOOSE(Sensitivity!$E$5,IF(Inputs!$H$32&gt;0,Inputs!$E$32,Inputs!$G$32),Inputs!$F$32,IF(Inputs!$H$32&gt;0,Inputs!$G$32,Inputs!$E$32))))</f>
        <v/>
      </c>
    </row>
    <row r="48">
      <c r="A48" t="inlineStr">
        <is>
          <t>c_opex</t>
        </is>
      </c>
      <c r="B48" t="inlineStr">
        <is>
          <t>Pillar C: annual cost</t>
        </is>
      </c>
      <c r="C48" t="inlineStr">
        <is>
          <t>EURm</t>
        </is>
      </c>
      <c r="D48" t="inlineStr">
        <is>
          <t>Inputs row 33</t>
        </is>
      </c>
      <c r="E48" s="24">
        <f>IF(Sensitivity!$E$6=Inputs!$A$33,Inputs!$G$33,IF(Sensitivity!$E$6=-Inputs!$A$33,Inputs!$E$33,CHOOSE(Sensitivity!$E$5,IF(Inputs!$H$33&gt;0,Inputs!$E$33,Inputs!$G$33),Inputs!$F$33,IF(Inputs!$H$33&gt;0,Inputs!$G$33,Inputs!$E$33))))</f>
        <v/>
      </c>
    </row>
    <row r="49">
      <c r="A49" t="inlineStr">
        <is>
          <t>margin</t>
        </is>
      </c>
      <c r="B49" t="inlineStr">
        <is>
          <t>Contribution margin on incremental revenue</t>
        </is>
      </c>
      <c r="C49" t="inlineStr">
        <is>
          <t>%</t>
        </is>
      </c>
      <c r="D49" t="inlineStr">
        <is>
          <t>Inputs row 35</t>
        </is>
      </c>
      <c r="E49" s="5">
        <f>IF(ISNUMBER(Sensitivity!$E$8),Sensitivity!$E$8,IF(Sensitivity!$E$6=Inputs!$A$35,Inputs!$G$35,IF(Sensitivity!$E$6=-Inputs!$A$35,Inputs!$E$35,CHOOSE(Sensitivity!$E$5,IF(Inputs!$H$35&gt;0,Inputs!$E$35,Inputs!$G$35),Inputs!$F$35,IF(Inputs!$H$35&gt;0,Inputs!$G$35,Inputs!$E$35)))))</f>
        <v/>
      </c>
    </row>
    <row r="50">
      <c r="A50" t="inlineStr">
        <is>
          <t>tax</t>
        </is>
      </c>
      <c r="B50" t="inlineStr">
        <is>
          <t>Corporate tax rate</t>
        </is>
      </c>
      <c r="C50" t="inlineStr">
        <is>
          <t>%</t>
        </is>
      </c>
      <c r="D50" t="inlineStr">
        <is>
          <t>Inputs row 36</t>
        </is>
      </c>
      <c r="E50" s="5">
        <f>IF(Sensitivity!$E$6=Inputs!$A$36,Inputs!$G$36,IF(Sensitivity!$E$6=-Inputs!$A$36,Inputs!$E$36,CHOOSE(Sensitivity!$E$5,IF(Inputs!$H$36&gt;0,Inputs!$E$36,Inputs!$G$36),Inputs!$F$36,IF(Inputs!$H$36&gt;0,Inputs!$G$36,Inputs!$E$36))))</f>
        <v/>
      </c>
    </row>
    <row r="51">
      <c r="A51" t="inlineStr">
        <is>
          <t>rf</t>
        </is>
      </c>
      <c r="B51" t="inlineStr">
        <is>
          <t>Risk-free rate</t>
        </is>
      </c>
      <c r="C51" t="inlineStr">
        <is>
          <t>%</t>
        </is>
      </c>
      <c r="D51" t="inlineStr">
        <is>
          <t>Inputs row 37</t>
        </is>
      </c>
      <c r="E51" s="5">
        <f>IF(Sensitivity!$E$6=Inputs!$A$37,Inputs!$G$37,IF(Sensitivity!$E$6=-Inputs!$A$37,Inputs!$E$37,CHOOSE(Sensitivity!$E$5,IF(Inputs!$H$37&gt;0,Inputs!$E$37,Inputs!$G$37),Inputs!$F$37,IF(Inputs!$H$37&gt;0,Inputs!$G$37,Inputs!$E$37))))</f>
        <v/>
      </c>
    </row>
    <row r="52">
      <c r="A52" t="inlineStr">
        <is>
          <t>beta</t>
        </is>
      </c>
      <c r="B52" t="inlineStr">
        <is>
          <t>Levered beta</t>
        </is>
      </c>
      <c r="C52" t="inlineStr">
        <is>
          <t>x</t>
        </is>
      </c>
      <c r="D52" t="inlineStr">
        <is>
          <t>Inputs row 38</t>
        </is>
      </c>
      <c r="E52" s="17">
        <f>IF(Sensitivity!$E$6=Inputs!$A$38,Inputs!$G$38,IF(Sensitivity!$E$6=-Inputs!$A$38,Inputs!$E$38,CHOOSE(Sensitivity!$E$5,IF(Inputs!$H$38&gt;0,Inputs!$E$38,Inputs!$G$38),Inputs!$F$38,IF(Inputs!$H$38&gt;0,Inputs!$G$38,Inputs!$E$38))))</f>
        <v/>
      </c>
    </row>
    <row r="53">
      <c r="A53" t="inlineStr">
        <is>
          <t>erp</t>
        </is>
      </c>
      <c r="B53" t="inlineStr">
        <is>
          <t>Equity risk premium</t>
        </is>
      </c>
      <c r="C53" t="inlineStr">
        <is>
          <t>%</t>
        </is>
      </c>
      <c r="D53" t="inlineStr">
        <is>
          <t>Inputs row 39</t>
        </is>
      </c>
      <c r="E53" s="5">
        <f>IF(Sensitivity!$E$6=Inputs!$A$39,Inputs!$G$39,IF(Sensitivity!$E$6=-Inputs!$A$39,Inputs!$E$39,CHOOSE(Sensitivity!$E$5,IF(Inputs!$H$39&gt;0,Inputs!$E$39,Inputs!$G$39),Inputs!$F$39,IF(Inputs!$H$39&gt;0,Inputs!$G$39,Inputs!$E$39))))</f>
        <v/>
      </c>
    </row>
    <row r="54">
      <c r="A54" t="inlineStr">
        <is>
          <t>kd</t>
        </is>
      </c>
      <c r="B54" t="inlineStr">
        <is>
          <t>Pre-tax cost of debt</t>
        </is>
      </c>
      <c r="C54" t="inlineStr">
        <is>
          <t>%</t>
        </is>
      </c>
      <c r="D54" t="inlineStr">
        <is>
          <t>Inputs row 40</t>
        </is>
      </c>
      <c r="E54" s="5">
        <f>IF(Sensitivity!$E$6=Inputs!$A$40,Inputs!$G$40,IF(Sensitivity!$E$6=-Inputs!$A$40,Inputs!$E$40,CHOOSE(Sensitivity!$E$5,IF(Inputs!$H$40&gt;0,Inputs!$E$40,Inputs!$G$40),Inputs!$F$40,IF(Inputs!$H$40&gt;0,Inputs!$G$40,Inputs!$E$40))))</f>
        <v/>
      </c>
    </row>
    <row r="55">
      <c r="A55" t="inlineStr">
        <is>
          <t>wd</t>
        </is>
      </c>
      <c r="B55" t="inlineStr">
        <is>
          <t>Debt weight D/(D+E)</t>
        </is>
      </c>
      <c r="C55" t="inlineStr">
        <is>
          <t>%</t>
        </is>
      </c>
      <c r="D55" t="inlineStr">
        <is>
          <t>Inputs row 41</t>
        </is>
      </c>
      <c r="E55" s="5">
        <f>IF(Sensitivity!$E$6=Inputs!$A$41,Inputs!$G$41,IF(Sensitivity!$E$6=-Inputs!$A$41,Inputs!$E$41,CHOOSE(Sensitivity!$E$5,IF(Inputs!$H$41&gt;0,Inputs!$E$41,Inputs!$G$41),Inputs!$F$41,IF(Inputs!$H$41&gt;0,Inputs!$G$41,Inputs!$E$41))))</f>
        <v/>
      </c>
    </row>
    <row r="56">
      <c r="A56" t="inlineStr">
        <is>
          <t>first_hist_year</t>
        </is>
      </c>
      <c r="B56" t="inlineStr">
        <is>
          <t>First historical year shown</t>
        </is>
      </c>
      <c r="C56" t="inlineStr">
        <is>
          <t>year</t>
        </is>
      </c>
      <c r="D56" t="inlineStr">
        <is>
          <t>Inputs row 45</t>
        </is>
      </c>
      <c r="E56" s="22">
        <f>Inputs!$F$45</f>
        <v/>
      </c>
    </row>
    <row r="57">
      <c r="A57" t="inlineStr">
        <is>
          <t>base_year</t>
        </is>
      </c>
      <c r="B57" t="inlineStr">
        <is>
          <t>Base year (last reported actuals)</t>
        </is>
      </c>
      <c r="C57" t="inlineStr">
        <is>
          <t>year</t>
        </is>
      </c>
      <c r="D57" t="inlineStr">
        <is>
          <t>Inputs row 46</t>
        </is>
      </c>
      <c r="E57" s="22">
        <f>Inputs!$F$46</f>
        <v/>
      </c>
    </row>
    <row r="58">
      <c r="A58" t="inlineStr">
        <is>
          <t>growth_cap</t>
        </is>
      </c>
      <c r="B58" t="inlineStr">
        <is>
          <t>Growth cap: max YoY growth of target revenue</t>
        </is>
      </c>
      <c r="C58" t="inlineStr">
        <is>
          <t>%</t>
        </is>
      </c>
      <c r="D58" t="inlineStr">
        <is>
          <t>Inputs row 47</t>
        </is>
      </c>
      <c r="E58" s="5">
        <f>Inputs!$F$47</f>
        <v/>
      </c>
    </row>
    <row r="59">
      <c r="A59" t="inlineStr">
        <is>
          <t>calib_tol</t>
        </is>
      </c>
      <c r="B59" t="inlineStr">
        <is>
          <t>Tolerance: baseline vs reported revenue</t>
        </is>
      </c>
      <c r="C59" t="inlineStr">
        <is>
          <t>%</t>
        </is>
      </c>
      <c r="D59" t="inlineStr">
        <is>
          <t>Inputs row 48</t>
        </is>
      </c>
      <c r="E59" s="5">
        <f>Inputs!$F$48</f>
        <v/>
      </c>
    </row>
    <row r="60">
      <c r="A60" t="inlineStr">
        <is>
          <t>sum_tol</t>
        </is>
      </c>
      <c r="B60" t="inlineStr">
        <is>
          <t>Tolerance: totals vs sum of parts</t>
        </is>
      </c>
      <c r="C60" t="inlineStr">
        <is>
          <t>abs</t>
        </is>
      </c>
      <c r="D60" t="inlineStr">
        <is>
          <t>Inputs row 49</t>
        </is>
      </c>
      <c r="E60" s="26">
        <f>Inputs!$F$49</f>
        <v/>
      </c>
    </row>
    <row r="61">
      <c r="A61" t="inlineStr">
        <is>
          <t>tie_step</t>
        </is>
      </c>
      <c r="B61" t="inlineStr">
        <is>
          <t>Tornado tie-break step (keeps ranks unique when two swings are equal)</t>
        </is>
      </c>
      <c r="C61" t="inlineStr">
        <is>
          <t>abs</t>
        </is>
      </c>
      <c r="D61" t="inlineStr">
        <is>
          <t>Inputs row 50</t>
        </is>
      </c>
      <c r="E61" s="26">
        <f>Inputs!$F$50</f>
        <v/>
      </c>
    </row>
    <row r="62">
      <c r="A62" t="inlineStr">
        <is>
          <t>a1_launch</t>
        </is>
      </c>
      <c r="B62" t="inlineStr">
        <is>
          <t>Launch year: Initiative A1</t>
        </is>
      </c>
      <c r="C62" t="inlineStr">
        <is>
          <t>year</t>
        </is>
      </c>
      <c r="D62" t="inlineStr">
        <is>
          <t>Inputs row 22</t>
        </is>
      </c>
      <c r="E62" s="22">
        <f>Inputs!$F$22</f>
        <v/>
      </c>
    </row>
    <row r="63">
      <c r="A63" t="inlineStr">
        <is>
          <t>b1_launch</t>
        </is>
      </c>
      <c r="B63" t="inlineStr">
        <is>
          <t>Launch year: Initiative B1</t>
        </is>
      </c>
      <c r="C63" t="inlineStr">
        <is>
          <t>year</t>
        </is>
      </c>
      <c r="D63" t="inlineStr">
        <is>
          <t>Inputs row 25</t>
        </is>
      </c>
      <c r="E63" s="22">
        <f>Inputs!$F$25</f>
        <v/>
      </c>
    </row>
    <row r="64">
      <c r="A64" t="inlineStr">
        <is>
          <t>c1_launch</t>
        </is>
      </c>
      <c r="B64" t="inlineStr">
        <is>
          <t>Launch year: Initiative C1</t>
        </is>
      </c>
      <c r="C64" t="inlineStr">
        <is>
          <t>year</t>
        </is>
      </c>
      <c r="D64" t="inlineStr">
        <is>
          <t>Inputs row 29</t>
        </is>
      </c>
      <c r="E64" s="22">
        <f>Inputs!$F$29</f>
        <v/>
      </c>
    </row>
    <row r="65">
      <c r="A65" t="inlineStr">
        <is>
          <t>tv_g</t>
        </is>
      </c>
      <c r="B65" t="inlineStr">
        <is>
          <t>Terminal growth of incremental FCF after the horizon</t>
        </is>
      </c>
      <c r="C65" t="inlineStr">
        <is>
          <t>%</t>
        </is>
      </c>
      <c r="D65" t="inlineStr">
        <is>
          <t>Inputs row 42</t>
        </is>
      </c>
      <c r="E65" s="5">
        <f>IF(ISNUMBER(Sensitivity!$E$9),Sensitivity!$E$9,IF(Sensitivity!$E$6=Inputs!$A$42,Inputs!$G$42,IF(Sensitivity!$E$6=-Inputs!$A$42,Inputs!$E$42,CHOOSE(Sensitivity!$E$5,IF(Inputs!$H$42&gt;0,Inputs!$E$42,Inputs!$G$42),Inputs!$F$42,IF(Inputs!$H$42&gt;0,Inputs!$G$42,Inputs!$E$42)))))</f>
        <v/>
      </c>
    </row>
    <row r="66">
      <c r="A66" t="inlineStr">
        <is>
          <t>tv_on</t>
        </is>
      </c>
      <c r="B66" t="inlineStr">
        <is>
          <t>Include terminal value (1 = yes, 0 = horizon only)</t>
        </is>
      </c>
      <c r="C66" t="inlineStr">
        <is>
          <t>switch</t>
        </is>
      </c>
      <c r="D66" t="inlineStr">
        <is>
          <t>Inputs row 43</t>
        </is>
      </c>
      <c r="E66" s="17">
        <f>Inputs!$F$43</f>
        <v/>
      </c>
    </row>
    <row r="67">
      <c r="A67" t="inlineStr">
        <is>
          <t>hist_p_low</t>
        </is>
      </c>
      <c r="B67" t="inlineStr">
        <is>
          <t>History band: lower percentile of YoY growth</t>
        </is>
      </c>
      <c r="C67" t="inlineStr">
        <is>
          <t>%</t>
        </is>
      </c>
      <c r="D67" t="inlineStr">
        <is>
          <t>Inputs row 51</t>
        </is>
      </c>
      <c r="E67" s="5">
        <f>Inputs!$F$51</f>
        <v/>
      </c>
    </row>
    <row r="68">
      <c r="A68" t="inlineStr">
        <is>
          <t>hist_p_high</t>
        </is>
      </c>
      <c r="B68" t="inlineStr">
        <is>
          <t>History band: upper percentile of YoY growth</t>
        </is>
      </c>
      <c r="C68" t="inlineStr">
        <is>
          <t>%</t>
        </is>
      </c>
      <c r="D68" t="inlineStr">
        <is>
          <t>Inputs row 52</t>
        </is>
      </c>
      <c r="E68" s="5">
        <f>Inputs!$F$52</f>
        <v/>
      </c>
    </row>
    <row r="69">
      <c r="A69" t="inlineStr">
        <is>
          <t>hist_tol</t>
        </is>
      </c>
      <c r="B69" t="inlineStr">
        <is>
          <t>History band: tolerance around the band (baseline growth vs history)</t>
        </is>
      </c>
      <c r="C69" t="inlineStr">
        <is>
          <t>%</t>
        </is>
      </c>
      <c r="D69" t="inlineStr">
        <is>
          <t>Inputs row 53</t>
        </is>
      </c>
      <c r="E69" s="5">
        <f>Inputs!$F$53</f>
        <v/>
      </c>
    </row>
    <row r="71">
      <c r="B71" s="14" t="inlineStr">
        <is>
          <t>2. Discount rate (WACC from sourced inputs)</t>
        </is>
      </c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</row>
    <row r="72">
      <c r="B72" t="inlineStr">
        <is>
          <t>Cost of equity (CAPM)</t>
        </is>
      </c>
      <c r="C72" t="inlineStr">
        <is>
          <t>%</t>
        </is>
      </c>
      <c r="E72" s="29">
        <f>$E$51+$E$52*$E$53</f>
        <v/>
      </c>
    </row>
    <row r="73">
      <c r="B73" t="inlineStr">
        <is>
          <t>After-tax cost of debt</t>
        </is>
      </c>
      <c r="C73" t="inlineStr">
        <is>
          <t>%</t>
        </is>
      </c>
      <c r="E73" s="29">
        <f>$E$54*(1-$E$50)</f>
        <v/>
      </c>
    </row>
    <row r="74">
      <c r="B74" t="inlineStr">
        <is>
          <t>WACC</t>
        </is>
      </c>
      <c r="C74" t="inlineStr">
        <is>
          <t>%</t>
        </is>
      </c>
      <c r="E74" s="29">
        <f>(1-$E$55)*$E$72+$E$55*$E$73</f>
        <v/>
      </c>
    </row>
    <row r="76">
      <c r="B76" s="14" t="inlineStr">
        <is>
          <t>3. Driver tree leaves: baseline, ceiling, initiative uplift (S-curve x decay), with strategy</t>
        </is>
      </c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</row>
    <row r="77">
      <c r="A77" t="inlineStr">
        <is>
          <t>customers</t>
        </is>
      </c>
      <c r="B77" t="inlineStr">
        <is>
          <t>Baseline: Customers</t>
        </is>
      </c>
      <c r="C77" t="inlineStr">
        <is>
          <t>m</t>
        </is>
      </c>
      <c r="K77" s="17">
        <f>$E$31</f>
        <v/>
      </c>
      <c r="L77" s="17">
        <f>K77*(1+$E$32)</f>
        <v/>
      </c>
      <c r="M77" s="17">
        <f>L77*(1+$E$32)</f>
        <v/>
      </c>
      <c r="N77" s="17">
        <f>M77*(1+$E$32)</f>
        <v/>
      </c>
      <c r="O77" s="17">
        <f>N77*(1+$E$32)</f>
        <v/>
      </c>
      <c r="P77" s="17">
        <f>O77*(1+$E$32)</f>
        <v/>
      </c>
    </row>
    <row r="78">
      <c r="B78" t="inlineStr">
        <is>
          <t>Ceiling: addressable Customers (market / capacity)</t>
        </is>
      </c>
      <c r="C78" t="inlineStr">
        <is>
          <t>m</t>
        </is>
      </c>
      <c r="K78" s="17">
        <f>$E$33</f>
        <v/>
      </c>
      <c r="L78" s="17">
        <f>K78*(1+$E$34)</f>
        <v/>
      </c>
      <c r="M78" s="17">
        <f>L78*(1+$E$34)</f>
        <v/>
      </c>
      <c r="N78" s="17">
        <f>M78*(1+$E$34)</f>
        <v/>
      </c>
      <c r="O78" s="17">
        <f>N78*(1+$E$34)</f>
        <v/>
      </c>
      <c r="P78" s="17">
        <f>O78*(1+$E$34)</f>
        <v/>
      </c>
    </row>
    <row r="79">
      <c r="A79" t="inlineStr">
        <is>
          <t>a1</t>
        </is>
      </c>
      <c r="B79" t="inlineStr">
        <is>
          <t>Adoption (bass curve): Initiative A1</t>
        </is>
      </c>
      <c r="C79" t="inlineStr">
        <is>
          <t>%</t>
        </is>
      </c>
      <c r="L79" s="5">
        <f>IF(L$4&gt;=$E$62,(1-EXP(-($E$43+$E$44)*(L$4-$E$62+1)))/(1+($E$44/$E$43)*EXP(-($E$43+$E$44)*(L$4-$E$62+1))),0)</f>
        <v/>
      </c>
      <c r="M79" s="5">
        <f>IF(M$4&gt;=$E$62,(1-EXP(-($E$43+$E$44)*(M$4-$E$62+1)))/(1+($E$44/$E$43)*EXP(-($E$43+$E$44)*(M$4-$E$62+1))),0)</f>
        <v/>
      </c>
      <c r="N79" s="5">
        <f>IF(N$4&gt;=$E$62,(1-EXP(-($E$43+$E$44)*(N$4-$E$62+1)))/(1+($E$44/$E$43)*EXP(-($E$43+$E$44)*(N$4-$E$62+1))),0)</f>
        <v/>
      </c>
      <c r="O79" s="5">
        <f>IF(O$4&gt;=$E$62,(1-EXP(-($E$43+$E$44)*(O$4-$E$62+1)))/(1+($E$44/$E$43)*EXP(-($E$43+$E$44)*(O$4-$E$62+1))),0)</f>
        <v/>
      </c>
      <c r="P79" s="5">
        <f>IF(P$4&gt;=$E$62,(1-EXP(-($E$43+$E$44)*(P$4-$E$62+1)))/(1+($E$44/$E$43)*EXP(-($E$43+$E$44)*(P$4-$E$62+1))),0)</f>
        <v/>
      </c>
    </row>
    <row r="80">
      <c r="A80" t="inlineStr">
        <is>
          <t>a1</t>
        </is>
      </c>
      <c r="B80" t="inlineStr">
        <is>
          <t>Effect retention after decay: Initiative A1</t>
        </is>
      </c>
      <c r="C80" t="inlineStr">
        <is>
          <t>%</t>
        </is>
      </c>
      <c r="L80" s="5">
        <f>IF(L$4&gt;=$E$62,(1-$E$42)^(L$4-$E$62),0)</f>
        <v/>
      </c>
      <c r="M80" s="5">
        <f>IF(M$4&gt;=$E$62,(1-$E$42)^(M$4-$E$62),0)</f>
        <v/>
      </c>
      <c r="N80" s="5">
        <f>IF(N$4&gt;=$E$62,(1-$E$42)^(N$4-$E$62),0)</f>
        <v/>
      </c>
      <c r="O80" s="5">
        <f>IF(O$4&gt;=$E$62,(1-$E$42)^(O$4-$E$62),0)</f>
        <v/>
      </c>
      <c r="P80" s="5">
        <f>IF(P$4&gt;=$E$62,(1-$E$42)^(P$4-$E$62),0)</f>
        <v/>
      </c>
    </row>
    <row r="81">
      <c r="A81" t="inlineStr">
        <is>
          <t>a1</t>
        </is>
      </c>
      <c r="B81" t="inlineStr">
        <is>
          <t>Uplift on Customers from Initiative A1 (%)</t>
        </is>
      </c>
      <c r="C81" t="inlineStr">
        <is>
          <t>%</t>
        </is>
      </c>
      <c r="L81" s="5">
        <f>$E$39*L79*L80</f>
        <v/>
      </c>
      <c r="M81" s="5">
        <f>$E$39*M79*M80</f>
        <v/>
      </c>
      <c r="N81" s="5">
        <f>$E$39*N79*N80</f>
        <v/>
      </c>
      <c r="O81" s="5">
        <f>$E$39*O79*O80</f>
        <v/>
      </c>
      <c r="P81" s="5">
        <f>$E$39*P79*P80</f>
        <v/>
      </c>
    </row>
    <row r="82">
      <c r="B82" t="inlineStr">
        <is>
          <t>Total uplift on Customers (%)</t>
        </is>
      </c>
      <c r="C82" t="inlineStr">
        <is>
          <t>%</t>
        </is>
      </c>
      <c r="L82" s="5">
        <f>L81</f>
        <v/>
      </c>
      <c r="M82" s="5">
        <f>M81</f>
        <v/>
      </c>
      <c r="N82" s="5">
        <f>N81</f>
        <v/>
      </c>
      <c r="O82" s="5">
        <f>O81</f>
        <v/>
      </c>
      <c r="P82" s="5">
        <f>P81</f>
        <v/>
      </c>
    </row>
    <row r="83">
      <c r="A83" t="inlineStr">
        <is>
          <t>customers</t>
        </is>
      </c>
      <c r="B83" t="inlineStr">
        <is>
          <t>Customers with strategy</t>
        </is>
      </c>
      <c r="C83" t="inlineStr">
        <is>
          <t>m</t>
        </is>
      </c>
      <c r="K83" s="17">
        <f>MIN(K77,K78)</f>
        <v/>
      </c>
      <c r="L83" s="17">
        <f>MIN(L77*(1+L82),L78)</f>
        <v/>
      </c>
      <c r="M83" s="17">
        <f>MIN(M77*(1+M82),M78)</f>
        <v/>
      </c>
      <c r="N83" s="17">
        <f>MIN(N77*(1+N82),N78)</f>
        <v/>
      </c>
      <c r="O83" s="17">
        <f>MIN(O77*(1+O82),O78)</f>
        <v/>
      </c>
      <c r="P83" s="17">
        <f>MIN(P77*(1+P82),P78)</f>
        <v/>
      </c>
    </row>
    <row r="84">
      <c r="B84" t="inlineStr">
        <is>
          <t>Baseline penetration of addressable market (% of ceiling): Customers</t>
        </is>
      </c>
      <c r="C84" t="inlineStr">
        <is>
          <t>%</t>
        </is>
      </c>
      <c r="K84" s="5">
        <f>K77/K78</f>
        <v/>
      </c>
      <c r="L84" s="5">
        <f>L77/L78</f>
        <v/>
      </c>
      <c r="M84" s="5">
        <f>M77/M78</f>
        <v/>
      </c>
      <c r="N84" s="5">
        <f>N77/N78</f>
        <v/>
      </c>
      <c r="O84" s="5">
        <f>O77/O78</f>
        <v/>
      </c>
      <c r="P84" s="5">
        <f>P77/P78</f>
        <v/>
      </c>
    </row>
    <row r="85">
      <c r="B85" t="inlineStr">
        <is>
          <t>Penetration of addressable market (% of ceiling): Customers</t>
        </is>
      </c>
      <c r="C85" t="inlineStr">
        <is>
          <t>%</t>
        </is>
      </c>
      <c r="K85" s="5">
        <f>K83/K78</f>
        <v/>
      </c>
      <c r="L85" s="5">
        <f>L83/L78</f>
        <v/>
      </c>
      <c r="M85" s="5">
        <f>M83/M78</f>
        <v/>
      </c>
      <c r="N85" s="5">
        <f>N83/N78</f>
        <v/>
      </c>
      <c r="O85" s="5">
        <f>O83/O78</f>
        <v/>
      </c>
      <c r="P85" s="5">
        <f>P83/P78</f>
        <v/>
      </c>
    </row>
    <row r="86">
      <c r="B86" t="inlineStr">
        <is>
          <t>Effective uplift factor after ceiling: Customers</t>
        </is>
      </c>
      <c r="C86" t="inlineStr">
        <is>
          <t>x</t>
        </is>
      </c>
      <c r="L86" s="30">
        <f>L83/L77</f>
        <v/>
      </c>
      <c r="M86" s="30">
        <f>M83/M77</f>
        <v/>
      </c>
      <c r="N86" s="30">
        <f>N83/N77</f>
        <v/>
      </c>
      <c r="O86" s="30">
        <f>O83/O77</f>
        <v/>
      </c>
      <c r="P86" s="30">
        <f>P83/P77</f>
        <v/>
      </c>
    </row>
    <row r="88">
      <c r="A88" t="inlineStr">
        <is>
          <t>freq</t>
        </is>
      </c>
      <c r="B88" t="inlineStr">
        <is>
          <t>Baseline: Purchases per customer</t>
        </is>
      </c>
      <c r="C88" t="inlineStr">
        <is>
          <t>x</t>
        </is>
      </c>
      <c r="K88" s="17">
        <f>$E$35</f>
        <v/>
      </c>
      <c r="L88" s="17">
        <f>K88</f>
        <v/>
      </c>
      <c r="M88" s="17">
        <f>L88</f>
        <v/>
      </c>
      <c r="N88" s="17">
        <f>M88</f>
        <v/>
      </c>
      <c r="O88" s="17">
        <f>N88</f>
        <v/>
      </c>
      <c r="P88" s="17">
        <f>O88</f>
        <v/>
      </c>
    </row>
    <row r="89">
      <c r="A89" t="inlineStr">
        <is>
          <t>b1</t>
        </is>
      </c>
      <c r="B89" t="inlineStr">
        <is>
          <t>Adoption (bass curve): Initiative B1</t>
        </is>
      </c>
      <c r="C89" t="inlineStr">
        <is>
          <t>%</t>
        </is>
      </c>
      <c r="L89" s="5">
        <f>IF(L$4&gt;=$E$63,(1-EXP(-($E$43+$E$44)*(L$4-$E$63+1)))/(1+($E$44/$E$43)*EXP(-($E$43+$E$44)*(L$4-$E$63+1))),0)</f>
        <v/>
      </c>
      <c r="M89" s="5">
        <f>IF(M$4&gt;=$E$63,(1-EXP(-($E$43+$E$44)*(M$4-$E$63+1)))/(1+($E$44/$E$43)*EXP(-($E$43+$E$44)*(M$4-$E$63+1))),0)</f>
        <v/>
      </c>
      <c r="N89" s="5">
        <f>IF(N$4&gt;=$E$63,(1-EXP(-($E$43+$E$44)*(N$4-$E$63+1)))/(1+($E$44/$E$43)*EXP(-($E$43+$E$44)*(N$4-$E$63+1))),0)</f>
        <v/>
      </c>
      <c r="O89" s="5">
        <f>IF(O$4&gt;=$E$63,(1-EXP(-($E$43+$E$44)*(O$4-$E$63+1)))/(1+($E$44/$E$43)*EXP(-($E$43+$E$44)*(O$4-$E$63+1))),0)</f>
        <v/>
      </c>
      <c r="P89" s="5">
        <f>IF(P$4&gt;=$E$63,(1-EXP(-($E$43+$E$44)*(P$4-$E$63+1)))/(1+($E$44/$E$43)*EXP(-($E$43+$E$44)*(P$4-$E$63+1))),0)</f>
        <v/>
      </c>
    </row>
    <row r="90">
      <c r="A90" t="inlineStr">
        <is>
          <t>b1</t>
        </is>
      </c>
      <c r="B90" t="inlineStr">
        <is>
          <t>Effect retention after decay: Initiative B1</t>
        </is>
      </c>
      <c r="C90" t="inlineStr">
        <is>
          <t>%</t>
        </is>
      </c>
      <c r="L90" s="5">
        <f>IF(L$4&gt;=$E$63,(1-$E$42)^(L$4-$E$63),0)</f>
        <v/>
      </c>
      <c r="M90" s="5">
        <f>IF(M$4&gt;=$E$63,(1-$E$42)^(M$4-$E$63),0)</f>
        <v/>
      </c>
      <c r="N90" s="5">
        <f>IF(N$4&gt;=$E$63,(1-$E$42)^(N$4-$E$63),0)</f>
        <v/>
      </c>
      <c r="O90" s="5">
        <f>IF(O$4&gt;=$E$63,(1-$E$42)^(O$4-$E$63),0)</f>
        <v/>
      </c>
      <c r="P90" s="5">
        <f>IF(P$4&gt;=$E$63,(1-$E$42)^(P$4-$E$63),0)</f>
        <v/>
      </c>
    </row>
    <row r="91">
      <c r="A91" t="inlineStr">
        <is>
          <t>b1</t>
        </is>
      </c>
      <c r="B91" t="inlineStr">
        <is>
          <t>Uplift on Purchases per customer from Initiative B1 (%)</t>
        </is>
      </c>
      <c r="C91" t="inlineStr">
        <is>
          <t>%</t>
        </is>
      </c>
      <c r="L91" s="5">
        <f>$E$40*L89*L90</f>
        <v/>
      </c>
      <c r="M91" s="5">
        <f>$E$40*M89*M90</f>
        <v/>
      </c>
      <c r="N91" s="5">
        <f>$E$40*N89*N90</f>
        <v/>
      </c>
      <c r="O91" s="5">
        <f>$E$40*O89*O90</f>
        <v/>
      </c>
      <c r="P91" s="5">
        <f>$E$40*P89*P90</f>
        <v/>
      </c>
    </row>
    <row r="92">
      <c r="B92" t="inlineStr">
        <is>
          <t>Total uplift on Purchases per customer (%)</t>
        </is>
      </c>
      <c r="C92" t="inlineStr">
        <is>
          <t>%</t>
        </is>
      </c>
      <c r="L92" s="5">
        <f>L91</f>
        <v/>
      </c>
      <c r="M92" s="5">
        <f>M91</f>
        <v/>
      </c>
      <c r="N92" s="5">
        <f>N91</f>
        <v/>
      </c>
      <c r="O92" s="5">
        <f>O91</f>
        <v/>
      </c>
      <c r="P92" s="5">
        <f>P91</f>
        <v/>
      </c>
    </row>
    <row r="93">
      <c r="A93" t="inlineStr">
        <is>
          <t>freq</t>
        </is>
      </c>
      <c r="B93" t="inlineStr">
        <is>
          <t>Purchases per customer with strategy</t>
        </is>
      </c>
      <c r="C93" t="inlineStr">
        <is>
          <t>x</t>
        </is>
      </c>
      <c r="K93" s="17">
        <f>K88</f>
        <v/>
      </c>
      <c r="L93" s="17">
        <f>L88*(1+L92)</f>
        <v/>
      </c>
      <c r="M93" s="17">
        <f>M88*(1+M92)</f>
        <v/>
      </c>
      <c r="N93" s="17">
        <f>N88*(1+N92)</f>
        <v/>
      </c>
      <c r="O93" s="17">
        <f>O88*(1+O92)</f>
        <v/>
      </c>
      <c r="P93" s="17">
        <f>P88*(1+P92)</f>
        <v/>
      </c>
    </row>
    <row r="94">
      <c r="B94" t="inlineStr">
        <is>
          <t>Effective uplift factor after ceiling: Purchases per customer</t>
        </is>
      </c>
      <c r="C94" t="inlineStr">
        <is>
          <t>x</t>
        </is>
      </c>
      <c r="L94" s="30">
        <f>L93/L88</f>
        <v/>
      </c>
      <c r="M94" s="30">
        <f>M93/M88</f>
        <v/>
      </c>
      <c r="N94" s="30">
        <f>N93/N88</f>
        <v/>
      </c>
      <c r="O94" s="30">
        <f>O93/O88</f>
        <v/>
      </c>
      <c r="P94" s="30">
        <f>P93/P88</f>
        <v/>
      </c>
    </row>
    <row r="96">
      <c r="A96" t="inlineStr">
        <is>
          <t>ticket</t>
        </is>
      </c>
      <c r="B96" t="inlineStr">
        <is>
          <t>Baseline: Average ticket</t>
        </is>
      </c>
      <c r="C96" t="inlineStr">
        <is>
          <t>EUR</t>
        </is>
      </c>
      <c r="K96" s="17">
        <f>$E$36</f>
        <v/>
      </c>
      <c r="L96" s="17">
        <f>K96*(1+$E$37)</f>
        <v/>
      </c>
      <c r="M96" s="17">
        <f>L96*(1+$E$37)</f>
        <v/>
      </c>
      <c r="N96" s="17">
        <f>M96*(1+$E$37)</f>
        <v/>
      </c>
      <c r="O96" s="17">
        <f>N96*(1+$E$37)</f>
        <v/>
      </c>
      <c r="P96" s="17">
        <f>O96*(1+$E$37)</f>
        <v/>
      </c>
    </row>
    <row r="97">
      <c r="A97" t="inlineStr">
        <is>
          <t>c1</t>
        </is>
      </c>
      <c r="B97" t="inlineStr">
        <is>
          <t>Adoption (linear curve): Initiative C1</t>
        </is>
      </c>
      <c r="C97" t="inlineStr">
        <is>
          <t>%</t>
        </is>
      </c>
      <c r="L97" s="5">
        <f>IF(L$4&gt;=$E$64,MIN(1,(L$4-$E$64+1)/$E$45),0)</f>
        <v/>
      </c>
      <c r="M97" s="5">
        <f>IF(M$4&gt;=$E$64,MIN(1,(M$4-$E$64+1)/$E$45),0)</f>
        <v/>
      </c>
      <c r="N97" s="5">
        <f>IF(N$4&gt;=$E$64,MIN(1,(N$4-$E$64+1)/$E$45),0)</f>
        <v/>
      </c>
      <c r="O97" s="5">
        <f>IF(O$4&gt;=$E$64,MIN(1,(O$4-$E$64+1)/$E$45),0)</f>
        <v/>
      </c>
      <c r="P97" s="5">
        <f>IF(P$4&gt;=$E$64,MIN(1,(P$4-$E$64+1)/$E$45),0)</f>
        <v/>
      </c>
    </row>
    <row r="98">
      <c r="A98" t="inlineStr">
        <is>
          <t>c1</t>
        </is>
      </c>
      <c r="B98" t="inlineStr">
        <is>
          <t>Effect retention after decay: Initiative C1</t>
        </is>
      </c>
      <c r="C98" t="inlineStr">
        <is>
          <t>%</t>
        </is>
      </c>
      <c r="L98" s="5">
        <f>IF(L$4&gt;=$E$64,(1-$E$42)^(L$4-$E$64),0)</f>
        <v/>
      </c>
      <c r="M98" s="5">
        <f>IF(M$4&gt;=$E$64,(1-$E$42)^(M$4-$E$64),0)</f>
        <v/>
      </c>
      <c r="N98" s="5">
        <f>IF(N$4&gt;=$E$64,(1-$E$42)^(N$4-$E$64),0)</f>
        <v/>
      </c>
      <c r="O98" s="5">
        <f>IF(O$4&gt;=$E$64,(1-$E$42)^(O$4-$E$64),0)</f>
        <v/>
      </c>
      <c r="P98" s="5">
        <f>IF(P$4&gt;=$E$64,(1-$E$42)^(P$4-$E$64),0)</f>
        <v/>
      </c>
    </row>
    <row r="99">
      <c r="A99" t="inlineStr">
        <is>
          <t>c1</t>
        </is>
      </c>
      <c r="B99" t="inlineStr">
        <is>
          <t>Uplift on Average ticket from Initiative C1 (%)</t>
        </is>
      </c>
      <c r="C99" t="inlineStr">
        <is>
          <t>%</t>
        </is>
      </c>
      <c r="L99" s="5">
        <f>$E$41*L97*L98</f>
        <v/>
      </c>
      <c r="M99" s="5">
        <f>$E$41*M97*M98</f>
        <v/>
      </c>
      <c r="N99" s="5">
        <f>$E$41*N97*N98</f>
        <v/>
      </c>
      <c r="O99" s="5">
        <f>$E$41*O97*O98</f>
        <v/>
      </c>
      <c r="P99" s="5">
        <f>$E$41*P97*P98</f>
        <v/>
      </c>
    </row>
    <row r="100">
      <c r="B100" t="inlineStr">
        <is>
          <t>Total uplift on Average ticket (%)</t>
        </is>
      </c>
      <c r="C100" t="inlineStr">
        <is>
          <t>%</t>
        </is>
      </c>
      <c r="L100" s="5">
        <f>L99</f>
        <v/>
      </c>
      <c r="M100" s="5">
        <f>M99</f>
        <v/>
      </c>
      <c r="N100" s="5">
        <f>N99</f>
        <v/>
      </c>
      <c r="O100" s="5">
        <f>O99</f>
        <v/>
      </c>
      <c r="P100" s="5">
        <f>P99</f>
        <v/>
      </c>
    </row>
    <row r="101">
      <c r="A101" t="inlineStr">
        <is>
          <t>ticket</t>
        </is>
      </c>
      <c r="B101" t="inlineStr">
        <is>
          <t>Average ticket with strategy</t>
        </is>
      </c>
      <c r="C101" t="inlineStr">
        <is>
          <t>EUR</t>
        </is>
      </c>
      <c r="K101" s="17">
        <f>K96</f>
        <v/>
      </c>
      <c r="L101" s="17">
        <f>L96*(1+L100)</f>
        <v/>
      </c>
      <c r="M101" s="17">
        <f>M96*(1+M100)</f>
        <v/>
      </c>
      <c r="N101" s="17">
        <f>N96*(1+N100)</f>
        <v/>
      </c>
      <c r="O101" s="17">
        <f>O96*(1+O100)</f>
        <v/>
      </c>
      <c r="P101" s="17">
        <f>P96*(1+P100)</f>
        <v/>
      </c>
    </row>
    <row r="102">
      <c r="B102" t="inlineStr">
        <is>
          <t>Effective uplift factor after ceiling: Average ticket</t>
        </is>
      </c>
      <c r="C102" t="inlineStr">
        <is>
          <t>x</t>
        </is>
      </c>
      <c r="L102" s="30">
        <f>L101/L96</f>
        <v/>
      </c>
      <c r="M102" s="30">
        <f>M101/M96</f>
        <v/>
      </c>
      <c r="N102" s="30">
        <f>N101/N96</f>
        <v/>
      </c>
      <c r="O102" s="30">
        <f>O101/O96</f>
        <v/>
      </c>
      <c r="P102" s="30">
        <f>P101/P96</f>
        <v/>
      </c>
    </row>
    <row r="104">
      <c r="B104" s="14" t="inlineStr">
        <is>
          <t>4. Revenue streams = product of leaves; incremental revenue split by leaf (log shares)</t>
        </is>
      </c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</row>
    <row r="105">
      <c r="A105" t="inlineStr">
        <is>
          <t>core</t>
        </is>
      </c>
      <c r="B105" t="inlineStr">
        <is>
          <t>Baseline revenue: Core revenue</t>
        </is>
      </c>
      <c r="C105" t="inlineStr">
        <is>
          <t>EURm</t>
        </is>
      </c>
      <c r="K105" s="24">
        <f>K77*K88*K96*$E$38</f>
        <v/>
      </c>
      <c r="L105" s="24">
        <f>L77*L88*L96*$E$38</f>
        <v/>
      </c>
      <c r="M105" s="24">
        <f>M77*M88*M96*$E$38</f>
        <v/>
      </c>
      <c r="N105" s="24">
        <f>N77*N88*N96*$E$38</f>
        <v/>
      </c>
      <c r="O105" s="24">
        <f>O77*O88*O96*$E$38</f>
        <v/>
      </c>
      <c r="P105" s="24">
        <f>P77*P88*P96*$E$38</f>
        <v/>
      </c>
    </row>
    <row r="106">
      <c r="A106" t="inlineStr">
        <is>
          <t>core</t>
        </is>
      </c>
      <c r="B106" t="inlineStr">
        <is>
          <t>Revenue with strategy: Core revenue</t>
        </is>
      </c>
      <c r="C106" t="inlineStr">
        <is>
          <t>EURm</t>
        </is>
      </c>
      <c r="K106" s="24">
        <f>K83*K93*K101*$E$38</f>
        <v/>
      </c>
      <c r="L106" s="24">
        <f>L83*L93*L101*$E$38</f>
        <v/>
      </c>
      <c r="M106" s="24">
        <f>M83*M93*M101*$E$38</f>
        <v/>
      </c>
      <c r="N106" s="24">
        <f>N83*N93*N101*$E$38</f>
        <v/>
      </c>
      <c r="O106" s="24">
        <f>O83*O93*O101*$E$38</f>
        <v/>
      </c>
      <c r="P106" s="24">
        <f>P83*P93*P101*$E$38</f>
        <v/>
      </c>
    </row>
    <row r="107">
      <c r="A107" t="inlineStr">
        <is>
          <t>core</t>
        </is>
      </c>
      <c r="B107" t="inlineStr">
        <is>
          <t>Incremental revenue: Core revenue</t>
        </is>
      </c>
      <c r="C107" t="inlineStr">
        <is>
          <t>EURm</t>
        </is>
      </c>
      <c r="L107" s="24">
        <f>L106-L105</f>
        <v/>
      </c>
      <c r="M107" s="24">
        <f>M106-M105</f>
        <v/>
      </c>
      <c r="N107" s="24">
        <f>N106-N105</f>
        <v/>
      </c>
      <c r="O107" s="24">
        <f>O106-O105</f>
        <v/>
      </c>
      <c r="P107" s="24">
        <f>P106-P105</f>
        <v/>
      </c>
    </row>
    <row r="108">
      <c r="B108" t="inlineStr">
        <is>
          <t>Sum of log uplift factors: Core revenue</t>
        </is>
      </c>
      <c r="C108" t="inlineStr">
        <is>
          <t>x</t>
        </is>
      </c>
      <c r="L108" s="30">
        <f>LN(L86)+LN(L94)+LN(L102)</f>
        <v/>
      </c>
      <c r="M108" s="30">
        <f>LN(M86)+LN(M94)+LN(M102)</f>
        <v/>
      </c>
      <c r="N108" s="30">
        <f>LN(N86)+LN(N94)+LN(N102)</f>
        <v/>
      </c>
      <c r="O108" s="30">
        <f>LN(O86)+LN(O94)+LN(O102)</f>
        <v/>
      </c>
      <c r="P108" s="30">
        <f>LN(P86)+LN(P94)+LN(P102)</f>
        <v/>
      </c>
    </row>
    <row r="109">
      <c r="B109" t="inlineStr">
        <is>
          <t>Log share of uplift: Customers in Core revenue</t>
        </is>
      </c>
      <c r="C109" t="inlineStr">
        <is>
          <t>%</t>
        </is>
      </c>
      <c r="L109" s="5">
        <f>IF(L108=0,0,LN(L86)/L108)</f>
        <v/>
      </c>
      <c r="M109" s="5">
        <f>IF(M108=0,0,LN(M86)/M108)</f>
        <v/>
      </c>
      <c r="N109" s="5">
        <f>IF(N108=0,0,LN(N86)/N108)</f>
        <v/>
      </c>
      <c r="O109" s="5">
        <f>IF(O108=0,0,LN(O86)/O108)</f>
        <v/>
      </c>
      <c r="P109" s="5">
        <f>IF(P108=0,0,LN(P86)/P108)</f>
        <v/>
      </c>
    </row>
    <row r="110">
      <c r="B110" t="inlineStr">
        <is>
          <t>Incremental revenue: Core revenue via Customers</t>
        </is>
      </c>
      <c r="C110" t="inlineStr">
        <is>
          <t>EURm</t>
        </is>
      </c>
      <c r="L110" s="24">
        <f>L107*L109</f>
        <v/>
      </c>
      <c r="M110" s="24">
        <f>M107*M109</f>
        <v/>
      </c>
      <c r="N110" s="24">
        <f>N107*N109</f>
        <v/>
      </c>
      <c r="O110" s="24">
        <f>O107*O109</f>
        <v/>
      </c>
      <c r="P110" s="24">
        <f>P107*P109</f>
        <v/>
      </c>
    </row>
    <row r="111">
      <c r="B111" t="inlineStr">
        <is>
          <t>Log share of uplift: Purchases per customer in Core revenue</t>
        </is>
      </c>
      <c r="C111" t="inlineStr">
        <is>
          <t>%</t>
        </is>
      </c>
      <c r="L111" s="5">
        <f>IF(L108=0,0,LN(L94)/L108)</f>
        <v/>
      </c>
      <c r="M111" s="5">
        <f>IF(M108=0,0,LN(M94)/M108)</f>
        <v/>
      </c>
      <c r="N111" s="5">
        <f>IF(N108=0,0,LN(N94)/N108)</f>
        <v/>
      </c>
      <c r="O111" s="5">
        <f>IF(O108=0,0,LN(O94)/O108)</f>
        <v/>
      </c>
      <c r="P111" s="5">
        <f>IF(P108=0,0,LN(P94)/P108)</f>
        <v/>
      </c>
    </row>
    <row r="112">
      <c r="B112" t="inlineStr">
        <is>
          <t>Incremental revenue: Core revenue via Purchases per customer</t>
        </is>
      </c>
      <c r="C112" t="inlineStr">
        <is>
          <t>EURm</t>
        </is>
      </c>
      <c r="L112" s="24">
        <f>L107*L111</f>
        <v/>
      </c>
      <c r="M112" s="24">
        <f>M107*M111</f>
        <v/>
      </c>
      <c r="N112" s="24">
        <f>N107*N111</f>
        <v/>
      </c>
      <c r="O112" s="24">
        <f>O107*O111</f>
        <v/>
      </c>
      <c r="P112" s="24">
        <f>P107*P111</f>
        <v/>
      </c>
    </row>
    <row r="113">
      <c r="B113" t="inlineStr">
        <is>
          <t>Log share of uplift: Average ticket in Core revenue</t>
        </is>
      </c>
      <c r="C113" t="inlineStr">
        <is>
          <t>%</t>
        </is>
      </c>
      <c r="L113" s="5">
        <f>IF(L108=0,0,LN(L102)/L108)</f>
        <v/>
      </c>
      <c r="M113" s="5">
        <f>IF(M108=0,0,LN(M102)/M108)</f>
        <v/>
      </c>
      <c r="N113" s="5">
        <f>IF(N108=0,0,LN(N102)/N108)</f>
        <v/>
      </c>
      <c r="O113" s="5">
        <f>IF(O108=0,0,LN(O102)/O108)</f>
        <v/>
      </c>
      <c r="P113" s="5">
        <f>IF(P108=0,0,LN(P102)/P108)</f>
        <v/>
      </c>
    </row>
    <row r="114">
      <c r="B114" t="inlineStr">
        <is>
          <t>Incremental revenue: Core revenue via Average ticket</t>
        </is>
      </c>
      <c r="C114" t="inlineStr">
        <is>
          <t>EURm</t>
        </is>
      </c>
      <c r="L114" s="24">
        <f>L107*L113</f>
        <v/>
      </c>
      <c r="M114" s="24">
        <f>M107*M113</f>
        <v/>
      </c>
      <c r="N114" s="24">
        <f>N107*N113</f>
        <v/>
      </c>
      <c r="O114" s="24">
        <f>O107*O113</f>
        <v/>
      </c>
      <c r="P114" s="24">
        <f>P107*P113</f>
        <v/>
      </c>
    </row>
    <row r="116">
      <c r="B116" s="14" t="inlineStr">
        <is>
          <t>4b. Revenue totals and reported actuals</t>
        </is>
      </c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</row>
    <row r="117">
      <c r="B117" t="inlineStr">
        <is>
          <t>Baseline revenue (do nothing)</t>
        </is>
      </c>
      <c r="C117" t="inlineStr">
        <is>
          <t>EURm</t>
        </is>
      </c>
      <c r="K117" s="24">
        <f>K105</f>
        <v/>
      </c>
      <c r="L117" s="24">
        <f>L105</f>
        <v/>
      </c>
      <c r="M117" s="24">
        <f>M105</f>
        <v/>
      </c>
      <c r="N117" s="24">
        <f>N105</f>
        <v/>
      </c>
      <c r="O117" s="24">
        <f>O105</f>
        <v/>
      </c>
      <c r="P117" s="24">
        <f>P105</f>
        <v/>
      </c>
    </row>
    <row r="118">
      <c r="B118" t="inlineStr">
        <is>
          <t>Target revenue (with strategy)</t>
        </is>
      </c>
      <c r="C118" t="inlineStr">
        <is>
          <t>EURm</t>
        </is>
      </c>
      <c r="K118" s="24">
        <f>K106</f>
        <v/>
      </c>
      <c r="L118" s="24">
        <f>L106</f>
        <v/>
      </c>
      <c r="M118" s="24">
        <f>M106</f>
        <v/>
      </c>
      <c r="N118" s="24">
        <f>N106</f>
        <v/>
      </c>
      <c r="O118" s="24">
        <f>O106</f>
        <v/>
      </c>
      <c r="P118" s="24">
        <f>P106</f>
        <v/>
      </c>
    </row>
    <row r="119">
      <c r="B119" t="inlineStr">
        <is>
          <t>Incremental revenue across streams (incl. new streams built by initiatives)</t>
        </is>
      </c>
      <c r="C119" t="inlineStr">
        <is>
          <t>EURm</t>
        </is>
      </c>
      <c r="L119" s="24">
        <f>L107</f>
        <v/>
      </c>
      <c r="M119" s="24">
        <f>M107</f>
        <v/>
      </c>
      <c r="N119" s="24">
        <f>N107</f>
        <v/>
      </c>
      <c r="O119" s="24">
        <f>O107</f>
        <v/>
      </c>
      <c r="P119" s="24">
        <f>P107</f>
        <v/>
      </c>
    </row>
    <row r="120">
      <c r="B120" t="inlineStr">
        <is>
          <t>Reported revenue (actuals)</t>
        </is>
      </c>
      <c r="C120" t="inlineStr">
        <is>
          <t>EURm</t>
        </is>
      </c>
      <c r="G120" s="24">
        <f>Actuals!G6</f>
        <v/>
      </c>
      <c r="H120" s="24">
        <f>Actuals!H6</f>
        <v/>
      </c>
      <c r="I120" s="24">
        <f>Actuals!I6</f>
        <v/>
      </c>
      <c r="J120" s="24">
        <f>Actuals!J6</f>
        <v/>
      </c>
      <c r="K120" s="24">
        <f>Actuals!K6</f>
        <v/>
      </c>
    </row>
    <row r="121">
      <c r="B121" t="inlineStr">
        <is>
          <t>EBITDA (reported) (actuals)</t>
        </is>
      </c>
      <c r="C121" t="inlineStr">
        <is>
          <t>EURm</t>
        </is>
      </c>
      <c r="G121" s="24">
        <f>Actuals!G7</f>
        <v/>
      </c>
      <c r="H121" s="24">
        <f>Actuals!H7</f>
        <v/>
      </c>
      <c r="I121" s="24">
        <f>Actuals!I7</f>
        <v/>
      </c>
      <c r="J121" s="24">
        <f>Actuals!J7</f>
        <v/>
      </c>
      <c r="K121" s="24">
        <f>Actuals!K7</f>
        <v/>
      </c>
    </row>
    <row r="122">
      <c r="B122" t="inlineStr">
        <is>
          <t>Customers (reported) (actuals)</t>
        </is>
      </c>
      <c r="C122" t="inlineStr">
        <is>
          <t>m</t>
        </is>
      </c>
      <c r="G122" s="17">
        <f>Actuals!G8</f>
        <v/>
      </c>
      <c r="H122" s="17">
        <f>Actuals!H8</f>
        <v/>
      </c>
      <c r="I122" s="17">
        <f>Actuals!I8</f>
        <v/>
      </c>
      <c r="J122" s="17">
        <f>Actuals!J8</f>
        <v/>
      </c>
      <c r="K122" s="17">
        <f>Actuals!K8</f>
        <v/>
      </c>
    </row>
    <row r="124">
      <c r="B124" s="14" t="inlineStr">
        <is>
          <t>5. Incremental revenue by initiative (each leaf's share split pro rata to its uplifts)</t>
        </is>
      </c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</row>
    <row r="125">
      <c r="A125" t="inlineStr">
        <is>
          <t>a1</t>
        </is>
      </c>
      <c r="B125" t="inlineStr">
        <is>
          <t>Incremental revenue: Initiative A1</t>
        </is>
      </c>
      <c r="C125" t="inlineStr">
        <is>
          <t>EURm</t>
        </is>
      </c>
      <c r="L125" s="24">
        <f>IF(L82=0,0,L110*L81/L82)</f>
        <v/>
      </c>
      <c r="M125" s="24">
        <f>IF(M82=0,0,M110*M81/M82)</f>
        <v/>
      </c>
      <c r="N125" s="24">
        <f>IF(N82=0,0,N110*N81/N82)</f>
        <v/>
      </c>
      <c r="O125" s="24">
        <f>IF(O82=0,0,O110*O81/O82)</f>
        <v/>
      </c>
      <c r="P125" s="24">
        <f>IF(P82=0,0,P110*P81/P82)</f>
        <v/>
      </c>
    </row>
    <row r="126">
      <c r="A126" t="inlineStr">
        <is>
          <t>b1</t>
        </is>
      </c>
      <c r="B126" t="inlineStr">
        <is>
          <t>Incremental revenue: Initiative B1</t>
        </is>
      </c>
      <c r="C126" t="inlineStr">
        <is>
          <t>EURm</t>
        </is>
      </c>
      <c r="L126" s="24">
        <f>IF(L92=0,0,L112*L91/L92)</f>
        <v/>
      </c>
      <c r="M126" s="24">
        <f>IF(M92=0,0,M112*M91/M92)</f>
        <v/>
      </c>
      <c r="N126" s="24">
        <f>IF(N92=0,0,N112*N91/N92)</f>
        <v/>
      </c>
      <c r="O126" s="24">
        <f>IF(O92=0,0,O112*O91/O92)</f>
        <v/>
      </c>
      <c r="P126" s="24">
        <f>IF(P92=0,0,P112*P91/P92)</f>
        <v/>
      </c>
    </row>
    <row r="127">
      <c r="A127" t="inlineStr">
        <is>
          <t>c1</t>
        </is>
      </c>
      <c r="B127" t="inlineStr">
        <is>
          <t>Incremental revenue: Initiative C1</t>
        </is>
      </c>
      <c r="C127" t="inlineStr">
        <is>
          <t>EURm</t>
        </is>
      </c>
      <c r="L127" s="24">
        <f>IF(L100=0,0,L114*L99/L100)</f>
        <v/>
      </c>
      <c r="M127" s="24">
        <f>IF(M100=0,0,M114*M99/M100)</f>
        <v/>
      </c>
      <c r="N127" s="24">
        <f>IF(N100=0,0,N114*N99/N100)</f>
        <v/>
      </c>
      <c r="O127" s="24">
        <f>IF(O100=0,0,O114*O99/O100)</f>
        <v/>
      </c>
      <c r="P127" s="24">
        <f>IF(P100=0,0,P114*P99/P100)</f>
        <v/>
      </c>
    </row>
    <row r="128">
      <c r="B128" t="inlineStr">
        <is>
          <t>Total incremental revenue</t>
        </is>
      </c>
      <c r="C128" t="inlineStr">
        <is>
          <t>EURm</t>
        </is>
      </c>
      <c r="L128" s="24">
        <f>SUM(L125:L127)</f>
        <v/>
      </c>
      <c r="M128" s="24">
        <f>SUM(M125:M127)</f>
        <v/>
      </c>
      <c r="N128" s="24">
        <f>SUM(N125:N127)</f>
        <v/>
      </c>
      <c r="O128" s="24">
        <f>SUM(O125:O127)</f>
        <v/>
      </c>
      <c r="P128" s="24">
        <f>SUM(P125:P127)</f>
        <v/>
      </c>
    </row>
    <row r="130">
      <c r="B130" s="14" t="inlineStr">
        <is>
          <t>6. Incremental revenue by pillar</t>
        </is>
      </c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</row>
    <row r="131">
      <c r="A131" t="inlineStr">
        <is>
          <t>a</t>
        </is>
      </c>
      <c r="B131" t="inlineStr">
        <is>
          <t>Incremental revenue: Pillar A</t>
        </is>
      </c>
      <c r="C131" t="inlineStr">
        <is>
          <t>EURm</t>
        </is>
      </c>
      <c r="L131" s="24">
        <f>L125</f>
        <v/>
      </c>
      <c r="M131" s="24">
        <f>M125</f>
        <v/>
      </c>
      <c r="N131" s="24">
        <f>N125</f>
        <v/>
      </c>
      <c r="O131" s="24">
        <f>O125</f>
        <v/>
      </c>
      <c r="P131" s="24">
        <f>P125</f>
        <v/>
      </c>
    </row>
    <row r="132">
      <c r="A132" t="inlineStr">
        <is>
          <t>b</t>
        </is>
      </c>
      <c r="B132" t="inlineStr">
        <is>
          <t>Incremental revenue: Pillar B</t>
        </is>
      </c>
      <c r="C132" t="inlineStr">
        <is>
          <t>EURm</t>
        </is>
      </c>
      <c r="L132" s="24">
        <f>L126</f>
        <v/>
      </c>
      <c r="M132" s="24">
        <f>M126</f>
        <v/>
      </c>
      <c r="N132" s="24">
        <f>N126</f>
        <v/>
      </c>
      <c r="O132" s="24">
        <f>O126</f>
        <v/>
      </c>
      <c r="P132" s="24">
        <f>P126</f>
        <v/>
      </c>
    </row>
    <row r="133">
      <c r="A133" t="inlineStr">
        <is>
          <t>c</t>
        </is>
      </c>
      <c r="B133" t="inlineStr">
        <is>
          <t>Incremental revenue: Pillar C</t>
        </is>
      </c>
      <c r="C133" t="inlineStr">
        <is>
          <t>EURm</t>
        </is>
      </c>
      <c r="L133" s="24">
        <f>L127</f>
        <v/>
      </c>
      <c r="M133" s="24">
        <f>M127</f>
        <v/>
      </c>
      <c r="N133" s="24">
        <f>N127</f>
        <v/>
      </c>
      <c r="O133" s="24">
        <f>O127</f>
        <v/>
      </c>
      <c r="P133" s="24">
        <f>P127</f>
        <v/>
      </c>
    </row>
    <row r="134">
      <c r="B134" t="inlineStr">
        <is>
          <t>Total incremental revenue (pillar view)</t>
        </is>
      </c>
      <c r="C134" t="inlineStr">
        <is>
          <t>EURm</t>
        </is>
      </c>
      <c r="L134" s="24">
        <f>SUM(L131:L133)</f>
        <v/>
      </c>
      <c r="M134" s="24">
        <f>SUM(M131:M133)</f>
        <v/>
      </c>
      <c r="N134" s="24">
        <f>SUM(N131:N133)</f>
        <v/>
      </c>
      <c r="O134" s="24">
        <f>SUM(O131:O133)</f>
        <v/>
      </c>
      <c r="P134" s="24">
        <f>SUM(P131:P133)</f>
        <v/>
      </c>
    </row>
    <row r="136">
      <c r="B136" s="14" t="inlineStr">
        <is>
          <t>7. Initiative costs (opex from launch; capex one-off in the launch year; quantity x unit cost)</t>
        </is>
      </c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</row>
    <row r="137">
      <c r="A137" t="inlineStr">
        <is>
          <t>a1</t>
        </is>
      </c>
      <c r="B137" t="inlineStr">
        <is>
          <t>Opex: Initiative A1</t>
        </is>
      </c>
      <c r="C137" t="inlineStr">
        <is>
          <t>EURm</t>
        </is>
      </c>
      <c r="L137" s="24">
        <f>IF(L$4&gt;=$E$62,$E$46,0)</f>
        <v/>
      </c>
      <c r="M137" s="24">
        <f>IF(M$4&gt;=$E$62,$E$46,0)</f>
        <v/>
      </c>
      <c r="N137" s="24">
        <f>IF(N$4&gt;=$E$62,$E$46,0)</f>
        <v/>
      </c>
      <c r="O137" s="24">
        <f>IF(O$4&gt;=$E$62,$E$46,0)</f>
        <v/>
      </c>
      <c r="P137" s="24">
        <f>IF(P$4&gt;=$E$62,$E$46,0)</f>
        <v/>
      </c>
    </row>
    <row r="138">
      <c r="A138" t="inlineStr">
        <is>
          <t>c1</t>
        </is>
      </c>
      <c r="B138" t="inlineStr">
        <is>
          <t>Opex: Initiative C1</t>
        </is>
      </c>
      <c r="C138" t="inlineStr">
        <is>
          <t>EURm</t>
        </is>
      </c>
      <c r="L138" s="24">
        <f>IF(L$4&gt;=$E$64,$E$48,0)</f>
        <v/>
      </c>
      <c r="M138" s="24">
        <f>IF(M$4&gt;=$E$64,$E$48,0)</f>
        <v/>
      </c>
      <c r="N138" s="24">
        <f>IF(N$4&gt;=$E$64,$E$48,0)</f>
        <v/>
      </c>
      <c r="O138" s="24">
        <f>IF(O$4&gt;=$E$64,$E$48,0)</f>
        <v/>
      </c>
      <c r="P138" s="24">
        <f>IF(P$4&gt;=$E$64,$E$48,0)</f>
        <v/>
      </c>
    </row>
    <row r="139">
      <c r="B139" t="inlineStr">
        <is>
          <t>Total opex</t>
        </is>
      </c>
      <c r="C139" t="inlineStr">
        <is>
          <t>EURm</t>
        </is>
      </c>
      <c r="L139" s="24">
        <f>SUM(L137:L138)</f>
        <v/>
      </c>
      <c r="M139" s="24">
        <f>SUM(M137:M138)</f>
        <v/>
      </c>
      <c r="N139" s="24">
        <f>SUM(N137:N138)</f>
        <v/>
      </c>
      <c r="O139" s="24">
        <f>SUM(O137:O138)</f>
        <v/>
      </c>
      <c r="P139" s="24">
        <f>SUM(P137:P138)</f>
        <v/>
      </c>
    </row>
    <row r="141">
      <c r="A141" t="inlineStr">
        <is>
          <t>b1</t>
        </is>
      </c>
      <c r="B141" t="inlineStr">
        <is>
          <t>Capex: Initiative B1</t>
        </is>
      </c>
      <c r="C141" t="inlineStr">
        <is>
          <t>EURm</t>
        </is>
      </c>
      <c r="L141" s="24">
        <f>IF(L$4=$E$63,$E$47,0)</f>
        <v/>
      </c>
      <c r="M141" s="24">
        <f>IF(M$4=$E$63,$E$47,0)</f>
        <v/>
      </c>
      <c r="N141" s="24">
        <f>IF(N$4=$E$63,$E$47,0)</f>
        <v/>
      </c>
      <c r="O141" s="24">
        <f>IF(O$4=$E$63,$E$47,0)</f>
        <v/>
      </c>
      <c r="P141" s="24">
        <f>IF(P$4=$E$63,$E$47,0)</f>
        <v/>
      </c>
    </row>
    <row r="142">
      <c r="B142" t="inlineStr">
        <is>
          <t>Total capex</t>
        </is>
      </c>
      <c r="C142" t="inlineStr">
        <is>
          <t>EURm</t>
        </is>
      </c>
      <c r="L142" s="24">
        <f>SUM(L141:L141)</f>
        <v/>
      </c>
      <c r="M142" s="24">
        <f>SUM(M141:M141)</f>
        <v/>
      </c>
      <c r="N142" s="24">
        <f>SUM(N141:N141)</f>
        <v/>
      </c>
      <c r="O142" s="24">
        <f>SUM(O141:O141)</f>
        <v/>
      </c>
      <c r="P142" s="24">
        <f>SUM(P141:P141)</f>
        <v/>
      </c>
    </row>
    <row r="144">
      <c r="B144" s="14" t="inlineStr">
        <is>
          <t>8a. Incremental EBIT by initiative (revenue x its margin + cost saving - opex)</t>
        </is>
      </c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</row>
    <row r="145">
      <c r="A145" t="inlineStr">
        <is>
          <t>a1</t>
        </is>
      </c>
      <c r="B145" t="inlineStr">
        <is>
          <t>Contribution: Initiative A1</t>
        </is>
      </c>
      <c r="C145" t="inlineStr">
        <is>
          <t>EURm</t>
        </is>
      </c>
      <c r="L145" s="24">
        <f>L125*$E$49</f>
        <v/>
      </c>
      <c r="M145" s="24">
        <f>M125*$E$49</f>
        <v/>
      </c>
      <c r="N145" s="24">
        <f>N125*$E$49</f>
        <v/>
      </c>
      <c r="O145" s="24">
        <f>O125*$E$49</f>
        <v/>
      </c>
      <c r="P145" s="24">
        <f>P125*$E$49</f>
        <v/>
      </c>
    </row>
    <row r="146">
      <c r="A146" t="inlineStr">
        <is>
          <t>b1</t>
        </is>
      </c>
      <c r="B146" t="inlineStr">
        <is>
          <t>Contribution: Initiative B1</t>
        </is>
      </c>
      <c r="C146" t="inlineStr">
        <is>
          <t>EURm</t>
        </is>
      </c>
      <c r="L146" s="24">
        <f>L126*$E$49</f>
        <v/>
      </c>
      <c r="M146" s="24">
        <f>M126*$E$49</f>
        <v/>
      </c>
      <c r="N146" s="24">
        <f>N126*$E$49</f>
        <v/>
      </c>
      <c r="O146" s="24">
        <f>O126*$E$49</f>
        <v/>
      </c>
      <c r="P146" s="24">
        <f>P126*$E$49</f>
        <v/>
      </c>
    </row>
    <row r="147">
      <c r="A147" t="inlineStr">
        <is>
          <t>c1</t>
        </is>
      </c>
      <c r="B147" t="inlineStr">
        <is>
          <t>Contribution: Initiative C1</t>
        </is>
      </c>
      <c r="C147" t="inlineStr">
        <is>
          <t>EURm</t>
        </is>
      </c>
      <c r="L147" s="24">
        <f>L127*$E$49</f>
        <v/>
      </c>
      <c r="M147" s="24">
        <f>M127*$E$49</f>
        <v/>
      </c>
      <c r="N147" s="24">
        <f>N127*$E$49</f>
        <v/>
      </c>
      <c r="O147" s="24">
        <f>O127*$E$49</f>
        <v/>
      </c>
      <c r="P147" s="24">
        <f>P127*$E$49</f>
        <v/>
      </c>
    </row>
    <row r="149">
      <c r="A149" t="inlineStr">
        <is>
          <t>a1</t>
        </is>
      </c>
      <c r="B149" t="inlineStr">
        <is>
          <t>Incremental EBIT: Initiative A1</t>
        </is>
      </c>
      <c r="C149" t="inlineStr">
        <is>
          <t>EURm</t>
        </is>
      </c>
      <c r="L149" s="24">
        <f>L145-L137</f>
        <v/>
      </c>
      <c r="M149" s="24">
        <f>M145-M137</f>
        <v/>
      </c>
      <c r="N149" s="24">
        <f>N145-N137</f>
        <v/>
      </c>
      <c r="O149" s="24">
        <f>O145-O137</f>
        <v/>
      </c>
      <c r="P149" s="24">
        <f>P145-P137</f>
        <v/>
      </c>
    </row>
    <row r="150">
      <c r="A150" t="inlineStr">
        <is>
          <t>b1</t>
        </is>
      </c>
      <c r="B150" t="inlineStr">
        <is>
          <t>Incremental EBIT: Initiative B1</t>
        </is>
      </c>
      <c r="C150" t="inlineStr">
        <is>
          <t>EURm</t>
        </is>
      </c>
      <c r="L150" s="24">
        <f>L146</f>
        <v/>
      </c>
      <c r="M150" s="24">
        <f>M146</f>
        <v/>
      </c>
      <c r="N150" s="24">
        <f>N146</f>
        <v/>
      </c>
      <c r="O150" s="24">
        <f>O146</f>
        <v/>
      </c>
      <c r="P150" s="24">
        <f>P146</f>
        <v/>
      </c>
    </row>
    <row r="151">
      <c r="A151" t="inlineStr">
        <is>
          <t>c1</t>
        </is>
      </c>
      <c r="B151" t="inlineStr">
        <is>
          <t>Incremental EBIT: Initiative C1</t>
        </is>
      </c>
      <c r="C151" t="inlineStr">
        <is>
          <t>EURm</t>
        </is>
      </c>
      <c r="L151" s="24">
        <f>L147-L138</f>
        <v/>
      </c>
      <c r="M151" s="24">
        <f>M147-M138</f>
        <v/>
      </c>
      <c r="N151" s="24">
        <f>N147-N138</f>
        <v/>
      </c>
      <c r="O151" s="24">
        <f>O147-O138</f>
        <v/>
      </c>
      <c r="P151" s="24">
        <f>P147-P138</f>
        <v/>
      </c>
    </row>
    <row r="153">
      <c r="A153" t="inlineStr">
        <is>
          <t>a</t>
        </is>
      </c>
      <c r="B153" t="inlineStr">
        <is>
          <t>Incremental EBIT: Pillar A</t>
        </is>
      </c>
      <c r="C153" t="inlineStr">
        <is>
          <t>EURm</t>
        </is>
      </c>
      <c r="L153" s="24">
        <f>L149</f>
        <v/>
      </c>
      <c r="M153" s="24">
        <f>M149</f>
        <v/>
      </c>
      <c r="N153" s="24">
        <f>N149</f>
        <v/>
      </c>
      <c r="O153" s="24">
        <f>O149</f>
        <v/>
      </c>
      <c r="P153" s="24">
        <f>P149</f>
        <v/>
      </c>
    </row>
    <row r="154">
      <c r="A154" t="inlineStr">
        <is>
          <t>b</t>
        </is>
      </c>
      <c r="B154" t="inlineStr">
        <is>
          <t>Incremental EBIT: Pillar B</t>
        </is>
      </c>
      <c r="C154" t="inlineStr">
        <is>
          <t>EURm</t>
        </is>
      </c>
      <c r="L154" s="24">
        <f>L150</f>
        <v/>
      </c>
      <c r="M154" s="24">
        <f>M150</f>
        <v/>
      </c>
      <c r="N154" s="24">
        <f>N150</f>
        <v/>
      </c>
      <c r="O154" s="24">
        <f>O150</f>
        <v/>
      </c>
      <c r="P154" s="24">
        <f>P150</f>
        <v/>
      </c>
    </row>
    <row r="155">
      <c r="A155" t="inlineStr">
        <is>
          <t>c</t>
        </is>
      </c>
      <c r="B155" t="inlineStr">
        <is>
          <t>Incremental EBIT: Pillar C</t>
        </is>
      </c>
      <c r="C155" t="inlineStr">
        <is>
          <t>EURm</t>
        </is>
      </c>
      <c r="L155" s="24">
        <f>L151</f>
        <v/>
      </c>
      <c r="M155" s="24">
        <f>M151</f>
        <v/>
      </c>
      <c r="N155" s="24">
        <f>N151</f>
        <v/>
      </c>
      <c r="O155" s="24">
        <f>O151</f>
        <v/>
      </c>
      <c r="P155" s="24">
        <f>P151</f>
        <v/>
      </c>
    </row>
    <row r="156">
      <c r="B156" t="inlineStr">
        <is>
          <t>Total incremental EBIT (pillar view)</t>
        </is>
      </c>
      <c r="C156" t="inlineStr">
        <is>
          <t>EURm</t>
        </is>
      </c>
      <c r="L156" s="24">
        <f>SUM(L153:L155)</f>
        <v/>
      </c>
      <c r="M156" s="24">
        <f>SUM(M153:M155)</f>
        <v/>
      </c>
      <c r="N156" s="24">
        <f>SUM(N153:N155)</f>
        <v/>
      </c>
      <c r="O156" s="24">
        <f>SUM(O153:O155)</f>
        <v/>
      </c>
      <c r="P156" s="24">
        <f>SUM(P153:P155)</f>
        <v/>
      </c>
    </row>
    <row r="158">
      <c r="B158" s="14" t="inlineStr">
        <is>
          <t>8. Incremental profit, cash flow and valuation</t>
        </is>
      </c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</row>
    <row r="159">
      <c r="B159" t="inlineStr">
        <is>
          <t>Incremental contribution (revenue x margin + cost savings)</t>
        </is>
      </c>
      <c r="C159" t="inlineStr">
        <is>
          <t>EURm</t>
        </is>
      </c>
      <c r="L159" s="24">
        <f>SUM(L145:L147)</f>
        <v/>
      </c>
      <c r="M159" s="24">
        <f>SUM(M145:M147)</f>
        <v/>
      </c>
      <c r="N159" s="24">
        <f>SUM(N145:N147)</f>
        <v/>
      </c>
      <c r="O159" s="24">
        <f>SUM(O145:O147)</f>
        <v/>
      </c>
      <c r="P159" s="24">
        <f>SUM(P145:P147)</f>
        <v/>
      </c>
    </row>
    <row r="160">
      <c r="B160" t="inlineStr">
        <is>
          <t>Incremental EBIT</t>
        </is>
      </c>
      <c r="C160" t="inlineStr">
        <is>
          <t>EURm</t>
        </is>
      </c>
      <c r="L160" s="24">
        <f>L159-L139</f>
        <v/>
      </c>
      <c r="M160" s="24">
        <f>M159-M139</f>
        <v/>
      </c>
      <c r="N160" s="24">
        <f>N159-N139</f>
        <v/>
      </c>
      <c r="O160" s="24">
        <f>O159-O139</f>
        <v/>
      </c>
      <c r="P160" s="24">
        <f>P159-P139</f>
        <v/>
      </c>
    </row>
    <row r="161">
      <c r="B161" t="inlineStr">
        <is>
          <t>Tax on incremental EBIT</t>
        </is>
      </c>
      <c r="C161" t="inlineStr">
        <is>
          <t>EURm</t>
        </is>
      </c>
      <c r="L161" s="24">
        <f>(L160)*$E$50</f>
        <v/>
      </c>
      <c r="M161" s="24">
        <f>(M160)*$E$50</f>
        <v/>
      </c>
      <c r="N161" s="24">
        <f>(N160)*$E$50</f>
        <v/>
      </c>
      <c r="O161" s="24">
        <f>(O160)*$E$50</f>
        <v/>
      </c>
      <c r="P161" s="24">
        <f>(P160)*$E$50</f>
        <v/>
      </c>
    </row>
    <row r="162">
      <c r="B162" t="inlineStr">
        <is>
          <t>Incremental NOPAT</t>
        </is>
      </c>
      <c r="C162" t="inlineStr">
        <is>
          <t>EURm</t>
        </is>
      </c>
      <c r="L162" s="24">
        <f>L160-L161</f>
        <v/>
      </c>
      <c r="M162" s="24">
        <f>M160-M161</f>
        <v/>
      </c>
      <c r="N162" s="24">
        <f>N160-N161</f>
        <v/>
      </c>
      <c r="O162" s="24">
        <f>O160-O161</f>
        <v/>
      </c>
      <c r="P162" s="24">
        <f>P160-P161</f>
        <v/>
      </c>
    </row>
    <row r="163">
      <c r="B163" t="inlineStr">
        <is>
          <t>Incremental free cash flow</t>
        </is>
      </c>
      <c r="C163" t="inlineStr">
        <is>
          <t>EURm</t>
        </is>
      </c>
      <c r="L163" s="24">
        <f>L162-L142</f>
        <v/>
      </c>
      <c r="M163" s="24">
        <f>M162-M142</f>
        <v/>
      </c>
      <c r="N163" s="24">
        <f>N162-N142</f>
        <v/>
      </c>
      <c r="O163" s="24">
        <f>O162-O142</f>
        <v/>
      </c>
      <c r="P163" s="24">
        <f>P162-P142</f>
        <v/>
      </c>
    </row>
    <row r="164">
      <c r="B164" t="inlineStr">
        <is>
          <t>Discount factor (end of year)</t>
        </is>
      </c>
      <c r="C164" t="inlineStr">
        <is>
          <t>x</t>
        </is>
      </c>
      <c r="L164" s="31">
        <f>1/(1+$E$74)^L$5</f>
        <v/>
      </c>
      <c r="M164" s="31">
        <f>1/(1+$E$74)^M$5</f>
        <v/>
      </c>
      <c r="N164" s="31">
        <f>1/(1+$E$74)^N$5</f>
        <v/>
      </c>
      <c r="O164" s="31">
        <f>1/(1+$E$74)^O$5</f>
        <v/>
      </c>
      <c r="P164" s="31">
        <f>1/(1+$E$74)^P$5</f>
        <v/>
      </c>
    </row>
    <row r="165">
      <c r="B165" t="inlineStr">
        <is>
          <t>PV of incremental free cash flow</t>
        </is>
      </c>
      <c r="C165" t="inlineStr">
        <is>
          <t>EURm</t>
        </is>
      </c>
      <c r="L165" s="24">
        <f>L163*L164</f>
        <v/>
      </c>
      <c r="M165" s="24">
        <f>M163*M164</f>
        <v/>
      </c>
      <c r="N165" s="24">
        <f>N163*N164</f>
        <v/>
      </c>
      <c r="O165" s="24">
        <f>O163*O164</f>
        <v/>
      </c>
      <c r="P165" s="24">
        <f>P163*P164</f>
        <v/>
      </c>
    </row>
    <row r="166">
      <c r="B166" t="inlineStr">
        <is>
          <t>Cumulative incremental free cash flow</t>
        </is>
      </c>
      <c r="C166" t="inlineStr">
        <is>
          <t>EURm</t>
        </is>
      </c>
      <c r="K166" s="24">
        <f>0</f>
        <v/>
      </c>
      <c r="L166" s="24">
        <f>K166+L163</f>
        <v/>
      </c>
      <c r="M166" s="24">
        <f>L166+M163</f>
        <v/>
      </c>
      <c r="N166" s="24">
        <f>M166+N163</f>
        <v/>
      </c>
      <c r="O166" s="24">
        <f>N166+O163</f>
        <v/>
      </c>
      <c r="P166" s="24">
        <f>O166+P163</f>
        <v/>
      </c>
    </row>
    <row r="167">
      <c r="B167" t="inlineStr">
        <is>
          <t>Payback crossing (years after base year)</t>
        </is>
      </c>
      <c r="C167" t="inlineStr">
        <is>
          <t>years</t>
        </is>
      </c>
      <c r="L167" s="32">
        <f>IF(AND(L166&gt;=0,K166&lt;0),(L$5-1)+(-K166)/L163,0)</f>
        <v/>
      </c>
      <c r="M167" s="32">
        <f>IF(AND(M166&gt;=0,L166&lt;0),(M$5-1)+(-L166)/M163,0)</f>
        <v/>
      </c>
      <c r="N167" s="32">
        <f>IF(AND(N166&gt;=0,M166&lt;0),(N$5-1)+(-M166)/N163,0)</f>
        <v/>
      </c>
      <c r="O167" s="32">
        <f>IF(AND(O166&gt;=0,N166&lt;0),(O$5-1)+(-N166)/O163,0)</f>
        <v/>
      </c>
      <c r="P167" s="32">
        <f>IF(AND(P166&gt;=0,O166&lt;0),(P$5-1)+(-O166)/P163,0)</f>
        <v/>
      </c>
    </row>
    <row r="169">
      <c r="B169" t="inlineStr">
        <is>
          <t>Horizon-only NPV (no terminal value)</t>
        </is>
      </c>
      <c r="C169" t="inlineStr">
        <is>
          <t>EURm</t>
        </is>
      </c>
      <c r="E169" s="33">
        <f>SUM(L165:P165)</f>
        <v/>
      </c>
    </row>
    <row r="170">
      <c r="B170" t="inlineStr">
        <is>
          <t>Normalised final-year FCF for the terminal value (2029 FCF + capex - replacement capex = depreciation)</t>
        </is>
      </c>
      <c r="C170" t="inlineStr">
        <is>
          <t>EURm</t>
        </is>
      </c>
      <c r="E170" s="33">
        <f>P163+P142</f>
        <v/>
      </c>
    </row>
    <row r="171">
      <c r="B171" t="inlineStr">
        <is>
          <t>PV of terminal value (switch x Gordon growth on normalised final-year FCF)</t>
        </is>
      </c>
      <c r="C171" t="inlineStr">
        <is>
          <t>EURm</t>
        </is>
      </c>
      <c r="E171" s="33">
        <f>$E$66*$E$170*(1+$E$65)/($E$74-$E$65)*P164</f>
        <v/>
      </c>
    </row>
    <row r="172">
      <c r="B172" t="inlineStr">
        <is>
          <t>NPV of strategy (incremental, at WACC)</t>
        </is>
      </c>
      <c r="C172" t="inlineStr">
        <is>
          <t>EURm</t>
        </is>
      </c>
      <c r="E172" s="34">
        <f>$E$169+$E$171</f>
        <v/>
      </c>
    </row>
    <row r="173">
      <c r="B173" t="inlineStr">
        <is>
          <t>IRR of strategy</t>
        </is>
      </c>
      <c r="C173" t="inlineStr">
        <is>
          <t>%</t>
        </is>
      </c>
      <c r="E173" s="35">
        <f>IFERROR(IRR(L163:P163),"n/a")</f>
        <v/>
      </c>
    </row>
    <row r="174">
      <c r="B174" t="inlineStr">
        <is>
          <t>Payback (years after base year)</t>
        </is>
      </c>
      <c r="C174" t="inlineStr">
        <is>
          <t>years</t>
        </is>
      </c>
      <c r="E174" s="36">
        <f>IF(MIN(L166:P166)&gt;=0,"no investment phase (cash flow never negative)",IF(P166&lt;0,"beyond horizon",SUM(L167:P167)))</f>
        <v/>
      </c>
    </row>
    <row r="175">
      <c r="B175" t="inlineStr">
        <is>
          <t>Cumulative incremental revenue over horizon</t>
        </is>
      </c>
      <c r="C175" t="inlineStr">
        <is>
          <t>EURm</t>
        </is>
      </c>
      <c r="E175" s="33">
        <f>SUM(L128:P128)</f>
        <v/>
      </c>
    </row>
    <row r="176">
      <c r="B176" t="inlineStr">
        <is>
          <t>Incremental revenue in 2029</t>
        </is>
      </c>
      <c r="C176" t="inlineStr">
        <is>
          <t>EURm</t>
        </is>
      </c>
      <c r="E176" s="33">
        <f>P128</f>
        <v/>
      </c>
    </row>
    <row r="177">
      <c r="B177" t="inlineStr">
        <is>
          <t>Incremental EBIT in 2029</t>
        </is>
      </c>
      <c r="C177" t="inlineStr">
        <is>
          <t>EURm</t>
        </is>
      </c>
      <c r="E177" s="33">
        <f>P160</f>
        <v/>
      </c>
    </row>
    <row r="179">
      <c r="B179" s="14" t="inlineStr">
        <is>
          <t>9. Value by initiative (standalone cash flow; initiatives add up to the strategy NPV)</t>
        </is>
      </c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</row>
    <row r="180">
      <c r="A180" t="inlineStr">
        <is>
          <t>a1</t>
        </is>
      </c>
      <c r="B180" t="inlineStr">
        <is>
          <t>Free cash flow: Initiative A1</t>
        </is>
      </c>
      <c r="C180" t="inlineStr">
        <is>
          <t>EURm</t>
        </is>
      </c>
      <c r="L180" s="24">
        <f>L149-(L149)*$E$50</f>
        <v/>
      </c>
      <c r="M180" s="24">
        <f>M149-(M149)*$E$50</f>
        <v/>
      </c>
      <c r="N180" s="24">
        <f>N149-(N149)*$E$50</f>
        <v/>
      </c>
      <c r="O180" s="24">
        <f>O149-(O149)*$E$50</f>
        <v/>
      </c>
      <c r="P180" s="24">
        <f>P149-(P149)*$E$50</f>
        <v/>
      </c>
    </row>
    <row r="181">
      <c r="A181" t="inlineStr">
        <is>
          <t>a1</t>
        </is>
      </c>
      <c r="B181" t="inlineStr">
        <is>
          <t>NPV: Initiative A1</t>
        </is>
      </c>
      <c r="C181" t="inlineStr">
        <is>
          <t>EURm</t>
        </is>
      </c>
      <c r="E181" s="33">
        <f>SUMPRODUCT(L180:P180,L164:P164)+$E$66*(P180)*(1+$E$65)/($E$74-$E$65)*P164</f>
        <v/>
      </c>
    </row>
    <row r="182">
      <c r="A182" t="inlineStr">
        <is>
          <t>b1</t>
        </is>
      </c>
      <c r="B182" t="inlineStr">
        <is>
          <t>Free cash flow: Initiative B1</t>
        </is>
      </c>
      <c r="C182" t="inlineStr">
        <is>
          <t>EURm</t>
        </is>
      </c>
      <c r="L182" s="24">
        <f>L150-(L150)*$E$50-L141</f>
        <v/>
      </c>
      <c r="M182" s="24">
        <f>M150-(M150)*$E$50-M141</f>
        <v/>
      </c>
      <c r="N182" s="24">
        <f>N150-(N150)*$E$50-N141</f>
        <v/>
      </c>
      <c r="O182" s="24">
        <f>O150-(O150)*$E$50-O141</f>
        <v/>
      </c>
      <c r="P182" s="24">
        <f>P150-(P150)*$E$50-P141</f>
        <v/>
      </c>
    </row>
    <row r="183">
      <c r="A183" t="inlineStr">
        <is>
          <t>b1</t>
        </is>
      </c>
      <c r="B183" t="inlineStr">
        <is>
          <t>NPV: Initiative B1</t>
        </is>
      </c>
      <c r="C183" t="inlineStr">
        <is>
          <t>EURm</t>
        </is>
      </c>
      <c r="E183" s="33">
        <f>SUMPRODUCT(L182:P182,L164:P164)+$E$66*(P182+P141)*(1+$E$65)/($E$74-$E$65)*P164</f>
        <v/>
      </c>
    </row>
    <row r="184">
      <c r="A184" t="inlineStr">
        <is>
          <t>c1</t>
        </is>
      </c>
      <c r="B184" t="inlineStr">
        <is>
          <t>Free cash flow: Initiative C1</t>
        </is>
      </c>
      <c r="C184" t="inlineStr">
        <is>
          <t>EURm</t>
        </is>
      </c>
      <c r="L184" s="24">
        <f>L151-(L151)*$E$50</f>
        <v/>
      </c>
      <c r="M184" s="24">
        <f>M151-(M151)*$E$50</f>
        <v/>
      </c>
      <c r="N184" s="24">
        <f>N151-(N151)*$E$50</f>
        <v/>
      </c>
      <c r="O184" s="24">
        <f>O151-(O151)*$E$50</f>
        <v/>
      </c>
      <c r="P184" s="24">
        <f>P151-(P151)*$E$50</f>
        <v/>
      </c>
    </row>
    <row r="185">
      <c r="A185" t="inlineStr">
        <is>
          <t>c1</t>
        </is>
      </c>
      <c r="B185" t="inlineStr">
        <is>
          <t>NPV: Initiative C1</t>
        </is>
      </c>
      <c r="C185" t="inlineStr">
        <is>
          <t>EURm</t>
        </is>
      </c>
      <c r="E185" s="33">
        <f>SUMPRODUCT(L184:P184,L164:P164)+$E$66*(P184)*(1+$E$65)/($E$74-$E$65)*P164</f>
        <v/>
      </c>
    </row>
    <row r="186">
      <c r="B186" t="inlineStr">
        <is>
          <t>Sum of initiative NPVs</t>
        </is>
      </c>
      <c r="C186" t="inlineStr">
        <is>
          <t>EURm</t>
        </is>
      </c>
      <c r="E186" s="33">
        <f>E181+E183+E185</f>
        <v/>
      </c>
    </row>
    <row r="188">
      <c r="B188" t="inlineStr">
        <is>
          <t>Baseline revenue in 2029</t>
        </is>
      </c>
      <c r="C188" t="inlineStr">
        <is>
          <t>EURm</t>
        </is>
      </c>
      <c r="E188" s="33">
        <f>P117</f>
        <v/>
      </c>
    </row>
    <row r="189">
      <c r="B189" t="inlineStr">
        <is>
          <t>Target revenue in 2029</t>
        </is>
      </c>
      <c r="C189" t="inlineStr">
        <is>
          <t>EURm</t>
        </is>
      </c>
      <c r="E189" s="33">
        <f>P118</f>
        <v/>
      </c>
    </row>
    <row r="190">
      <c r="B190" t="inlineStr">
        <is>
          <t>Model revenue in base year 2024</t>
        </is>
      </c>
      <c r="C190" t="inlineStr">
        <is>
          <t>EURm</t>
        </is>
      </c>
      <c r="E190" s="33">
        <f>K117</f>
        <v/>
      </c>
    </row>
    <row r="191">
      <c r="B191" t="inlineStr">
        <is>
          <t>Reported revenue in base year 2024</t>
        </is>
      </c>
      <c r="C191" t="inlineStr">
        <is>
          <t>EURm</t>
        </is>
      </c>
      <c r="E191" s="33">
        <f>Actuals!K6</f>
        <v/>
      </c>
    </row>
    <row r="193">
      <c r="B193" s="14" t="inlineStr">
        <is>
          <t>9b. Base case vs history (do-nothing growth against the company's own record)</t>
        </is>
      </c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</row>
    <row r="194">
      <c r="B194" t="inlineStr">
        <is>
          <t>Baseline revenue CAGR 2024-2029 (do nothing)</t>
        </is>
      </c>
      <c r="C194" t="inlineStr">
        <is>
          <t>%</t>
        </is>
      </c>
      <c r="E194" s="29">
        <f>(P117/K117)^(1/(P$4-K$4))-1</f>
        <v/>
      </c>
    </row>
    <row r="195">
      <c r="B195" t="inlineStr">
        <is>
          <t>History band, low: lower of revenue CAGR and lower-percentile YoY growth, less tolerance</t>
        </is>
      </c>
      <c r="C195" t="inlineStr">
        <is>
          <t>%</t>
        </is>
      </c>
      <c r="E195" s="29">
        <f>MIN(Calculations!$E$9,Calculations!$E$11)-Inputs!$F$53</f>
        <v/>
      </c>
    </row>
    <row r="196">
      <c r="B196" t="inlineStr">
        <is>
          <t>History band, high: higher of revenue CAGR and upper-percentile YoY growth, plus tolerance</t>
        </is>
      </c>
      <c r="C196" t="inlineStr">
        <is>
          <t>%</t>
        </is>
      </c>
      <c r="E196" s="29">
        <f>MAX(Calculations!$E$9,Calculations!$E$12)+Inputs!$F$53</f>
        <v/>
      </c>
    </row>
    <row r="198">
      <c r="B198" s="14" t="inlineStr">
        <is>
          <t>10. Case objectives: each KPI in the base case (do nothing) and with the strategies</t>
        </is>
      </c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</row>
    <row r="199">
      <c r="B199" t="inlineStr">
        <is>
          <t>Change vs base case: revenue</t>
        </is>
      </c>
      <c r="C199" t="inlineStr">
        <is>
          <t>EURm</t>
        </is>
      </c>
      <c r="K199" s="24">
        <f>K118-K117</f>
        <v/>
      </c>
      <c r="L199" s="24">
        <f>L118-L117</f>
        <v/>
      </c>
      <c r="M199" s="24">
        <f>M118-M117</f>
        <v/>
      </c>
      <c r="N199" s="24">
        <f>N118-N117</f>
        <v/>
      </c>
      <c r="O199" s="24">
        <f>O118-O117</f>
        <v/>
      </c>
      <c r="P199" s="24">
        <f>P118-P117</f>
        <v/>
      </c>
    </row>
    <row r="201">
      <c r="B201" t="inlineStr">
        <is>
          <t>Base-year EBITDA margin (reported, 2024)</t>
        </is>
      </c>
      <c r="C201" t="inlineStr">
        <is>
          <t>%</t>
        </is>
      </c>
      <c r="E201" s="29">
        <f>Actuals!K7/Actuals!K6</f>
        <v/>
      </c>
    </row>
    <row r="202">
      <c r="B202" t="inlineStr">
        <is>
          <t>EBITDA, base case (do nothing: base-year margin on baseline revenue)</t>
        </is>
      </c>
      <c r="C202" t="inlineStr">
        <is>
          <t>EURm</t>
        </is>
      </c>
      <c r="K202" s="24">
        <f>K117*$E$201</f>
        <v/>
      </c>
      <c r="L202" s="24">
        <f>L117*$E$201</f>
        <v/>
      </c>
      <c r="M202" s="24">
        <f>M117*$E$201</f>
        <v/>
      </c>
      <c r="N202" s="24">
        <f>N117*$E$201</f>
        <v/>
      </c>
      <c r="O202" s="24">
        <f>O117*$E$201</f>
        <v/>
      </c>
      <c r="P202" s="24">
        <f>P117*$E$201</f>
        <v/>
      </c>
    </row>
    <row r="203">
      <c r="B203" t="inlineStr">
        <is>
          <t>EBITDA, with strategies (base case + incremental EBIT before new depreciation)</t>
        </is>
      </c>
      <c r="C203" t="inlineStr">
        <is>
          <t>EURm</t>
        </is>
      </c>
      <c r="K203" s="24">
        <f>K202</f>
        <v/>
      </c>
      <c r="L203" s="24">
        <f>L202+L160</f>
        <v/>
      </c>
      <c r="M203" s="24">
        <f>M202+M160</f>
        <v/>
      </c>
      <c r="N203" s="24">
        <f>N202+N160</f>
        <v/>
      </c>
      <c r="O203" s="24">
        <f>O202+O160</f>
        <v/>
      </c>
      <c r="P203" s="24">
        <f>P202+P160</f>
        <v/>
      </c>
    </row>
    <row r="204">
      <c r="B204" t="inlineStr">
        <is>
          <t>Change vs base case: EBITDA</t>
        </is>
      </c>
      <c r="C204" t="inlineStr">
        <is>
          <t>EURm</t>
        </is>
      </c>
      <c r="K204" s="24">
        <f>K203-K202</f>
        <v/>
      </c>
      <c r="L204" s="24">
        <f>L203-L202</f>
        <v/>
      </c>
      <c r="M204" s="24">
        <f>M203-M202</f>
        <v/>
      </c>
      <c r="N204" s="24">
        <f>N203-N202</f>
        <v/>
      </c>
      <c r="O204" s="24">
        <f>O203-O202</f>
        <v/>
      </c>
      <c r="P204" s="24">
        <f>P203-P202</f>
        <v/>
      </c>
    </row>
    <row r="205">
      <c r="B205" t="inlineStr">
        <is>
          <t>EBITDA margin, base case</t>
        </is>
      </c>
      <c r="C205" t="inlineStr">
        <is>
          <t>%</t>
        </is>
      </c>
      <c r="K205" s="5">
        <f>K202/K117</f>
        <v/>
      </c>
      <c r="L205" s="5">
        <f>L202/L117</f>
        <v/>
      </c>
      <c r="M205" s="5">
        <f>M202/M117</f>
        <v/>
      </c>
      <c r="N205" s="5">
        <f>N202/N117</f>
        <v/>
      </c>
      <c r="O205" s="5">
        <f>O202/O117</f>
        <v/>
      </c>
      <c r="P205" s="5">
        <f>P202/P117</f>
        <v/>
      </c>
    </row>
    <row r="206">
      <c r="B206" t="inlineStr">
        <is>
          <t>EBITDA margin, with strategies</t>
        </is>
      </c>
      <c r="C206" t="inlineStr">
        <is>
          <t>%</t>
        </is>
      </c>
      <c r="K206" s="5">
        <f>K203/K118</f>
        <v/>
      </c>
      <c r="L206" s="5">
        <f>L203/L118</f>
        <v/>
      </c>
      <c r="M206" s="5">
        <f>M203/M118</f>
        <v/>
      </c>
      <c r="N206" s="5">
        <f>N203/N118</f>
        <v/>
      </c>
      <c r="O206" s="5">
        <f>O203/O118</f>
        <v/>
      </c>
      <c r="P206" s="5">
        <f>P203/P118</f>
        <v/>
      </c>
    </row>
    <row r="207">
      <c r="B207" t="inlineStr">
        <is>
          <t>Change vs base case: EBITDA margin (percentage points)</t>
        </is>
      </c>
      <c r="C207" t="inlineStr">
        <is>
          <t>%</t>
        </is>
      </c>
      <c r="K207" s="5">
        <f>K206-K205</f>
        <v/>
      </c>
      <c r="L207" s="5">
        <f>L206-L205</f>
        <v/>
      </c>
      <c r="M207" s="5">
        <f>M206-M205</f>
        <v/>
      </c>
      <c r="N207" s="5">
        <f>N206-N205</f>
        <v/>
      </c>
      <c r="O207" s="5">
        <f>O206-O205</f>
        <v/>
      </c>
      <c r="P207" s="5">
        <f>P206-P205</f>
        <v/>
      </c>
    </row>
    <row r="209">
      <c r="B209" t="inlineStr">
        <is>
          <t>KPI 2029, base case: Revenue</t>
        </is>
      </c>
      <c r="C209" t="inlineStr">
        <is>
          <t>EURm</t>
        </is>
      </c>
      <c r="E209" s="33">
        <f>P117</f>
        <v/>
      </c>
    </row>
    <row r="210">
      <c r="B210" t="inlineStr">
        <is>
          <t>KPI 2029, with strategies: Revenue</t>
        </is>
      </c>
      <c r="C210" t="inlineStr">
        <is>
          <t>EURm</t>
        </is>
      </c>
      <c r="E210" s="33">
        <f>P118</f>
        <v/>
      </c>
    </row>
    <row r="211">
      <c r="B211" t="inlineStr">
        <is>
          <t>KPI change in 2029 vs base case: Revenue</t>
        </is>
      </c>
      <c r="C211" t="inlineStr">
        <is>
          <t>EURm</t>
        </is>
      </c>
      <c r="E211" s="33">
        <f>P199</f>
        <v/>
      </c>
    </row>
    <row r="212">
      <c r="B212" t="inlineStr">
        <is>
          <t>KPI cumulative change 2025-2029 vs base case: Revenue</t>
        </is>
      </c>
      <c r="C212" t="inlineStr">
        <is>
          <t>EURm</t>
        </is>
      </c>
      <c r="E212" s="33">
        <f>SUM(L199:P199)</f>
        <v/>
      </c>
    </row>
    <row r="213">
      <c r="B213" t="inlineStr">
        <is>
          <t>KPI 2029, base case: EBITDA</t>
        </is>
      </c>
      <c r="C213" t="inlineStr">
        <is>
          <t>EURm</t>
        </is>
      </c>
      <c r="E213" s="33">
        <f>P202</f>
        <v/>
      </c>
    </row>
    <row r="214">
      <c r="B214" t="inlineStr">
        <is>
          <t>KPI 2029, with strategies: EBITDA</t>
        </is>
      </c>
      <c r="C214" t="inlineStr">
        <is>
          <t>EURm</t>
        </is>
      </c>
      <c r="E214" s="33">
        <f>P203</f>
        <v/>
      </c>
    </row>
    <row r="215">
      <c r="B215" t="inlineStr">
        <is>
          <t>KPI change in 2029 vs base case: EBITDA</t>
        </is>
      </c>
      <c r="C215" t="inlineStr">
        <is>
          <t>EURm</t>
        </is>
      </c>
      <c r="E215" s="33">
        <f>P204</f>
        <v/>
      </c>
    </row>
    <row r="216">
      <c r="B216" t="inlineStr">
        <is>
          <t>KPI cumulative change 2025-2029 vs base case: EBITDA</t>
        </is>
      </c>
      <c r="C216" t="inlineStr">
        <is>
          <t>EURm</t>
        </is>
      </c>
      <c r="E216" s="33">
        <f>SUM(L204:P204)</f>
        <v/>
      </c>
    </row>
    <row r="217">
      <c r="B217" t="inlineStr">
        <is>
          <t>KPI 2029, base case: EBITDA margin</t>
        </is>
      </c>
      <c r="C217" t="inlineStr">
        <is>
          <t>%</t>
        </is>
      </c>
      <c r="E217" s="29">
        <f>P205</f>
        <v/>
      </c>
    </row>
    <row r="218">
      <c r="B218" t="inlineStr">
        <is>
          <t>KPI 2029, with strategies: EBITDA margin</t>
        </is>
      </c>
      <c r="C218" t="inlineStr">
        <is>
          <t>%</t>
        </is>
      </c>
      <c r="E218" s="29">
        <f>P206</f>
        <v/>
      </c>
    </row>
    <row r="219">
      <c r="B219" t="inlineStr">
        <is>
          <t>KPI change in 2029 vs base case: EBITDA margin</t>
        </is>
      </c>
      <c r="C219" t="inlineStr">
        <is>
          <t>%</t>
        </is>
      </c>
      <c r="E219" s="29">
        <f>P207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64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14" customWidth="1" min="4" max="4"/>
    <col width="14" customWidth="1" min="5" max="5"/>
    <col width="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B1" s="6" t="inlineStr">
        <is>
          <t>Outputs - Example Co - three-pillar impact model (TEMPLATE: replace every input)</t>
        </is>
      </c>
    </row>
    <row r="2">
      <c r="B2" s="7" t="inlineStr">
        <is>
          <t>Currency: EURm. All cells link to Calculations.</t>
        </is>
      </c>
    </row>
    <row r="3">
      <c r="B3" s="3" t="inlineStr">
        <is>
          <t>Period</t>
        </is>
      </c>
      <c r="G3" s="27">
        <f>Calculations!G3</f>
        <v/>
      </c>
      <c r="H3" s="27">
        <f>Calculations!H3</f>
        <v/>
      </c>
      <c r="I3" s="27">
        <f>Calculations!I3</f>
        <v/>
      </c>
      <c r="J3" s="27">
        <f>Calculations!J3</f>
        <v/>
      </c>
      <c r="K3" s="27">
        <f>Calculations!K3</f>
        <v/>
      </c>
      <c r="L3" s="27">
        <f>Calculations!L3</f>
        <v/>
      </c>
      <c r="M3" s="27">
        <f>Calculations!M3</f>
        <v/>
      </c>
      <c r="N3" s="27">
        <f>Calculations!N3</f>
        <v/>
      </c>
      <c r="O3" s="27">
        <f>Calculations!O3</f>
        <v/>
      </c>
      <c r="P3" s="27">
        <f>Calculations!P3</f>
        <v/>
      </c>
    </row>
    <row r="4">
      <c r="B4" s="3" t="inlineStr">
        <is>
          <t>Year</t>
        </is>
      </c>
      <c r="G4" s="28">
        <f>Calculations!G4</f>
        <v/>
      </c>
      <c r="H4" s="28">
        <f>Calculations!H4</f>
        <v/>
      </c>
      <c r="I4" s="28">
        <f>Calculations!I4</f>
        <v/>
      </c>
      <c r="J4" s="28">
        <f>Calculations!J4</f>
        <v/>
      </c>
      <c r="K4" s="28">
        <f>Calculations!K4</f>
        <v/>
      </c>
      <c r="L4" s="28">
        <f>Calculations!L4</f>
        <v/>
      </c>
      <c r="M4" s="28">
        <f>Calculations!M4</f>
        <v/>
      </c>
      <c r="N4" s="28">
        <f>Calculations!N4</f>
        <v/>
      </c>
      <c r="O4" s="28">
        <f>Calculations!O4</f>
        <v/>
      </c>
      <c r="P4" s="28">
        <f>Calculations!P4</f>
        <v/>
      </c>
    </row>
    <row r="5"/>
    <row r="6">
      <c r="B6" s="14" t="inlineStr">
        <is>
          <t>Headline results (base case unless Sensitivity switches are set)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>
      <c r="B7" t="inlineStr">
        <is>
          <t>NPV of strategy at WACC</t>
        </is>
      </c>
      <c r="C7" t="inlineStr">
        <is>
          <t>EURm</t>
        </is>
      </c>
      <c r="E7" s="34">
        <f>Calculations!$E$172</f>
        <v/>
      </c>
    </row>
    <row r="8">
      <c r="B8" t="inlineStr">
        <is>
          <t xml:space="preserve">  of which PV of terminal value</t>
        </is>
      </c>
      <c r="C8" t="inlineStr">
        <is>
          <t>EURm</t>
        </is>
      </c>
      <c r="E8" s="34">
        <f>Calculations!$E$171</f>
        <v/>
      </c>
    </row>
    <row r="9">
      <c r="B9" t="inlineStr">
        <is>
          <t>Horizon-only NPV (no terminal value)</t>
        </is>
      </c>
      <c r="C9" t="inlineStr">
        <is>
          <t>EURm</t>
        </is>
      </c>
      <c r="E9" s="34">
        <f>Calculations!$E$169</f>
        <v/>
      </c>
    </row>
    <row r="10">
      <c r="B10" t="inlineStr">
        <is>
          <t>IRR</t>
        </is>
      </c>
      <c r="C10" t="inlineStr">
        <is>
          <t>%</t>
        </is>
      </c>
      <c r="E10" s="35">
        <f>Calculations!$E$173</f>
        <v/>
      </c>
    </row>
    <row r="11">
      <c r="B11" t="inlineStr">
        <is>
          <t>Payback (years after base year)</t>
        </is>
      </c>
      <c r="C11" t="inlineStr">
        <is>
          <t>years</t>
        </is>
      </c>
      <c r="E11" s="36">
        <f>Calculations!$E$174</f>
        <v/>
      </c>
    </row>
    <row r="12">
      <c r="B12" t="inlineStr">
        <is>
          <t>WACC</t>
        </is>
      </c>
      <c r="C12" t="inlineStr">
        <is>
          <t>%</t>
        </is>
      </c>
      <c r="E12" s="35">
        <f>Calculations!$E$74</f>
        <v/>
      </c>
    </row>
    <row r="13">
      <c r="B13" t="inlineStr">
        <is>
          <t>Incremental revenue in 2029</t>
        </is>
      </c>
      <c r="C13" t="inlineStr">
        <is>
          <t>EURm</t>
        </is>
      </c>
      <c r="E13" s="34">
        <f>Calculations!$E$176</f>
        <v/>
      </c>
    </row>
    <row r="14">
      <c r="B14" t="inlineStr">
        <is>
          <t>Incremental EBIT in 2029</t>
        </is>
      </c>
      <c r="C14" t="inlineStr">
        <is>
          <t>EURm</t>
        </is>
      </c>
      <c r="E14" s="34">
        <f>Calculations!$E$177</f>
        <v/>
      </c>
    </row>
    <row r="15">
      <c r="B15" t="inlineStr">
        <is>
          <t>Cumulative incremental revenue</t>
        </is>
      </c>
      <c r="C15" t="inlineStr">
        <is>
          <t>EURm</t>
        </is>
      </c>
      <c r="E15" s="34">
        <f>Calculations!$E$175</f>
        <v/>
      </c>
    </row>
    <row r="16">
      <c r="B16" t="inlineStr">
        <is>
          <t>Baseline revenue in 2029</t>
        </is>
      </c>
      <c r="C16" t="inlineStr">
        <is>
          <t>EURm</t>
        </is>
      </c>
      <c r="E16" s="34">
        <f>Calculations!$E$188</f>
        <v/>
      </c>
    </row>
    <row r="17">
      <c r="B17" t="inlineStr">
        <is>
          <t>Target revenue in 2029</t>
        </is>
      </c>
      <c r="C17" t="inlineStr">
        <is>
          <t>EURm</t>
        </is>
      </c>
      <c r="E17" s="34">
        <f>Calculations!$E$189</f>
        <v/>
      </c>
    </row>
    <row r="19">
      <c r="B19" s="14" t="inlineStr">
        <is>
          <t>Base case vs history</t>
        </is>
      </c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</row>
    <row r="20">
      <c r="B20" t="inlineStr">
        <is>
          <t>Reported revenue CAGR 2020-2024</t>
        </is>
      </c>
      <c r="C20" t="inlineStr">
        <is>
          <t>%</t>
        </is>
      </c>
      <c r="E20" s="29">
        <f>Calculations!$E$9</f>
        <v/>
      </c>
    </row>
    <row r="21">
      <c r="B21" t="inlineStr">
        <is>
          <t>Reported revenue: median YoY growth</t>
        </is>
      </c>
      <c r="C21" t="inlineStr">
        <is>
          <t>%</t>
        </is>
      </c>
      <c r="E21" s="29">
        <f>Calculations!$E$10</f>
        <v/>
      </c>
    </row>
    <row r="22">
      <c r="B22" t="inlineStr">
        <is>
          <t>Reported revenue: YoY growth, lower percentile</t>
        </is>
      </c>
      <c r="C22" t="inlineStr">
        <is>
          <t>%</t>
        </is>
      </c>
      <c r="E22" s="29">
        <f>Calculations!$E$11</f>
        <v/>
      </c>
    </row>
    <row r="23">
      <c r="B23" t="inlineStr">
        <is>
          <t>Reported revenue: YoY growth, upper percentile</t>
        </is>
      </c>
      <c r="C23" t="inlineStr">
        <is>
          <t>%</t>
        </is>
      </c>
      <c r="E23" s="29">
        <f>Calculations!$E$12</f>
        <v/>
      </c>
    </row>
    <row r="24">
      <c r="B24" t="inlineStr">
        <is>
          <t>Baseline revenue CAGR 2024-2029 (do nothing)</t>
        </is>
      </c>
      <c r="C24" t="inlineStr">
        <is>
          <t>%</t>
        </is>
      </c>
      <c r="E24" s="29">
        <f>Calculations!$E$194</f>
        <v/>
      </c>
    </row>
    <row r="25">
      <c r="B25" t="inlineStr">
        <is>
          <t>EBITDA (reported): median % of revenue</t>
        </is>
      </c>
      <c r="C25" t="inlineStr">
        <is>
          <t>%</t>
        </is>
      </c>
      <c r="E25" s="29">
        <f>Calculations!$E$20</f>
        <v/>
      </c>
    </row>
    <row r="27">
      <c r="B27" s="14" t="inlineStr">
        <is>
          <t>Revenue path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</row>
    <row r="28">
      <c r="B28" t="inlineStr">
        <is>
          <t>Reported revenue (actuals)</t>
        </is>
      </c>
      <c r="C28" t="inlineStr">
        <is>
          <t>EURm</t>
        </is>
      </c>
      <c r="G28" s="24">
        <f>Calculations!G120</f>
        <v/>
      </c>
      <c r="H28" s="24">
        <f>Calculations!H120</f>
        <v/>
      </c>
      <c r="I28" s="24">
        <f>Calculations!I120</f>
        <v/>
      </c>
      <c r="J28" s="24">
        <f>Calculations!J120</f>
        <v/>
      </c>
      <c r="K28" s="24">
        <f>Calculations!K120</f>
        <v/>
      </c>
    </row>
    <row r="29">
      <c r="B29" t="inlineStr">
        <is>
          <t>Baseline revenue (do nothing)</t>
        </is>
      </c>
      <c r="C29" t="inlineStr">
        <is>
          <t>EURm</t>
        </is>
      </c>
      <c r="K29" s="24">
        <f>Calculations!K117</f>
        <v/>
      </c>
      <c r="L29" s="24">
        <f>Calculations!L117</f>
        <v/>
      </c>
      <c r="M29" s="24">
        <f>Calculations!M117</f>
        <v/>
      </c>
      <c r="N29" s="24">
        <f>Calculations!N117</f>
        <v/>
      </c>
      <c r="O29" s="24">
        <f>Calculations!O117</f>
        <v/>
      </c>
      <c r="P29" s="24">
        <f>Calculations!P117</f>
        <v/>
      </c>
    </row>
    <row r="30">
      <c r="B30" t="inlineStr">
        <is>
          <t>Target revenue (with strategy)</t>
        </is>
      </c>
      <c r="C30" t="inlineStr">
        <is>
          <t>EURm</t>
        </is>
      </c>
      <c r="K30" s="24">
        <f>Calculations!K118</f>
        <v/>
      </c>
      <c r="L30" s="24">
        <f>Calculations!L118</f>
        <v/>
      </c>
      <c r="M30" s="24">
        <f>Calculations!M118</f>
        <v/>
      </c>
      <c r="N30" s="24">
        <f>Calculations!N118</f>
        <v/>
      </c>
      <c r="O30" s="24">
        <f>Calculations!O118</f>
        <v/>
      </c>
      <c r="P30" s="24">
        <f>Calculations!P118</f>
        <v/>
      </c>
    </row>
    <row r="32">
      <c r="B32" s="14" t="inlineStr">
        <is>
          <t>Incremental revenue by pillar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</row>
    <row r="33">
      <c r="B33" t="inlineStr">
        <is>
          <t>Incremental revenue: Pillar A</t>
        </is>
      </c>
      <c r="C33" t="inlineStr">
        <is>
          <t>EURm</t>
        </is>
      </c>
      <c r="L33" s="24">
        <f>Calculations!L131</f>
        <v/>
      </c>
      <c r="M33" s="24">
        <f>Calculations!M131</f>
        <v/>
      </c>
      <c r="N33" s="24">
        <f>Calculations!N131</f>
        <v/>
      </c>
      <c r="O33" s="24">
        <f>Calculations!O131</f>
        <v/>
      </c>
      <c r="P33" s="24">
        <f>Calculations!P131</f>
        <v/>
      </c>
    </row>
    <row r="34">
      <c r="B34" t="inlineStr">
        <is>
          <t>Incremental revenue: Pillar B</t>
        </is>
      </c>
      <c r="C34" t="inlineStr">
        <is>
          <t>EURm</t>
        </is>
      </c>
      <c r="L34" s="24">
        <f>Calculations!L132</f>
        <v/>
      </c>
      <c r="M34" s="24">
        <f>Calculations!M132</f>
        <v/>
      </c>
      <c r="N34" s="24">
        <f>Calculations!N132</f>
        <v/>
      </c>
      <c r="O34" s="24">
        <f>Calculations!O132</f>
        <v/>
      </c>
      <c r="P34" s="24">
        <f>Calculations!P132</f>
        <v/>
      </c>
    </row>
    <row r="35">
      <c r="B35" t="inlineStr">
        <is>
          <t>Incremental revenue: Pillar C</t>
        </is>
      </c>
      <c r="C35" t="inlineStr">
        <is>
          <t>EURm</t>
        </is>
      </c>
      <c r="L35" s="24">
        <f>Calculations!L133</f>
        <v/>
      </c>
      <c r="M35" s="24">
        <f>Calculations!M133</f>
        <v/>
      </c>
      <c r="N35" s="24">
        <f>Calculations!N133</f>
        <v/>
      </c>
      <c r="O35" s="24">
        <f>Calculations!O133</f>
        <v/>
      </c>
      <c r="P35" s="24">
        <f>Calculations!P133</f>
        <v/>
      </c>
    </row>
    <row r="36">
      <c r="B36" t="inlineStr">
        <is>
          <t>Total incremental revenue</t>
        </is>
      </c>
      <c r="C36" t="inlineStr">
        <is>
          <t>EURm</t>
        </is>
      </c>
      <c r="L36" s="24">
        <f>SUM(L33:L35)</f>
        <v/>
      </c>
      <c r="M36" s="24">
        <f>SUM(M33:M35)</f>
        <v/>
      </c>
      <c r="N36" s="24">
        <f>SUM(N33:N35)</f>
        <v/>
      </c>
      <c r="O36" s="24">
        <f>SUM(O33:O35)</f>
        <v/>
      </c>
      <c r="P36" s="24">
        <f>SUM(P33:P35)</f>
        <v/>
      </c>
    </row>
    <row r="38">
      <c r="B38" s="14" t="inlineStr">
        <is>
          <t>Incremental revenue by initiative</t>
        </is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</row>
    <row r="39">
      <c r="B39" t="inlineStr">
        <is>
          <t>Incremental revenue: Initiative A1</t>
        </is>
      </c>
      <c r="C39" t="inlineStr">
        <is>
          <t>EURm</t>
        </is>
      </c>
      <c r="L39" s="24">
        <f>Calculations!L125</f>
        <v/>
      </c>
      <c r="M39" s="24">
        <f>Calculations!M125</f>
        <v/>
      </c>
      <c r="N39" s="24">
        <f>Calculations!N125</f>
        <v/>
      </c>
      <c r="O39" s="24">
        <f>Calculations!O125</f>
        <v/>
      </c>
      <c r="P39" s="24">
        <f>Calculations!P125</f>
        <v/>
      </c>
    </row>
    <row r="40">
      <c r="B40" t="inlineStr">
        <is>
          <t>Incremental revenue: Initiative B1</t>
        </is>
      </c>
      <c r="C40" t="inlineStr">
        <is>
          <t>EURm</t>
        </is>
      </c>
      <c r="L40" s="24">
        <f>Calculations!L126</f>
        <v/>
      </c>
      <c r="M40" s="24">
        <f>Calculations!M126</f>
        <v/>
      </c>
      <c r="N40" s="24">
        <f>Calculations!N126</f>
        <v/>
      </c>
      <c r="O40" s="24">
        <f>Calculations!O126</f>
        <v/>
      </c>
      <c r="P40" s="24">
        <f>Calculations!P126</f>
        <v/>
      </c>
    </row>
    <row r="41">
      <c r="B41" t="inlineStr">
        <is>
          <t>Incremental revenue: Initiative C1</t>
        </is>
      </c>
      <c r="C41" t="inlineStr">
        <is>
          <t>EURm</t>
        </is>
      </c>
      <c r="L41" s="24">
        <f>Calculations!L127</f>
        <v/>
      </c>
      <c r="M41" s="24">
        <f>Calculations!M127</f>
        <v/>
      </c>
      <c r="N41" s="24">
        <f>Calculations!N127</f>
        <v/>
      </c>
      <c r="O41" s="24">
        <f>Calculations!O127</f>
        <v/>
      </c>
      <c r="P41" s="24">
        <f>Calculations!P127</f>
        <v/>
      </c>
    </row>
    <row r="42">
      <c r="B42" t="inlineStr">
        <is>
          <t>Total incremental revenue</t>
        </is>
      </c>
      <c r="C42" t="inlineStr">
        <is>
          <t>EURm</t>
        </is>
      </c>
      <c r="L42" s="24">
        <f>SUM(L39:L41)</f>
        <v/>
      </c>
      <c r="M42" s="24">
        <f>SUM(M39:M41)</f>
        <v/>
      </c>
      <c r="N42" s="24">
        <f>SUM(N39:N41)</f>
        <v/>
      </c>
      <c r="O42" s="24">
        <f>SUM(O39:O41)</f>
        <v/>
      </c>
      <c r="P42" s="24">
        <f>SUM(P39:P41)</f>
        <v/>
      </c>
    </row>
    <row r="44">
      <c r="B44" s="14" t="inlineStr">
        <is>
          <t>Incremental EBIT by pillar (revenue x margin + cost savings - opex)</t>
        </is>
      </c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</row>
    <row r="45">
      <c r="B45" t="inlineStr">
        <is>
          <t>Incremental EBIT: Pillar A</t>
        </is>
      </c>
      <c r="C45" t="inlineStr">
        <is>
          <t>EURm</t>
        </is>
      </c>
      <c r="L45" s="24">
        <f>Calculations!L153</f>
        <v/>
      </c>
      <c r="M45" s="24">
        <f>Calculations!M153</f>
        <v/>
      </c>
      <c r="N45" s="24">
        <f>Calculations!N153</f>
        <v/>
      </c>
      <c r="O45" s="24">
        <f>Calculations!O153</f>
        <v/>
      </c>
      <c r="P45" s="24">
        <f>Calculations!P153</f>
        <v/>
      </c>
    </row>
    <row r="46">
      <c r="B46" t="inlineStr">
        <is>
          <t>Incremental EBIT: Pillar B</t>
        </is>
      </c>
      <c r="C46" t="inlineStr">
        <is>
          <t>EURm</t>
        </is>
      </c>
      <c r="L46" s="24">
        <f>Calculations!L154</f>
        <v/>
      </c>
      <c r="M46" s="24">
        <f>Calculations!M154</f>
        <v/>
      </c>
      <c r="N46" s="24">
        <f>Calculations!N154</f>
        <v/>
      </c>
      <c r="O46" s="24">
        <f>Calculations!O154</f>
        <v/>
      </c>
      <c r="P46" s="24">
        <f>Calculations!P154</f>
        <v/>
      </c>
    </row>
    <row r="47">
      <c r="B47" t="inlineStr">
        <is>
          <t>Incremental EBIT: Pillar C</t>
        </is>
      </c>
      <c r="C47" t="inlineStr">
        <is>
          <t>EURm</t>
        </is>
      </c>
      <c r="L47" s="24">
        <f>Calculations!L155</f>
        <v/>
      </c>
      <c r="M47" s="24">
        <f>Calculations!M155</f>
        <v/>
      </c>
      <c r="N47" s="24">
        <f>Calculations!N155</f>
        <v/>
      </c>
      <c r="O47" s="24">
        <f>Calculations!O155</f>
        <v/>
      </c>
      <c r="P47" s="24">
        <f>Calculations!P155</f>
        <v/>
      </c>
    </row>
    <row r="48">
      <c r="B48" t="inlineStr">
        <is>
          <t>Total incremental EBIT</t>
        </is>
      </c>
      <c r="C48" t="inlineStr">
        <is>
          <t>EURm</t>
        </is>
      </c>
      <c r="L48" s="24">
        <f>SUM(L45:L47)</f>
        <v/>
      </c>
      <c r="M48" s="24">
        <f>SUM(M45:M47)</f>
        <v/>
      </c>
      <c r="N48" s="24">
        <f>SUM(N45:N47)</f>
        <v/>
      </c>
      <c r="O48" s="24">
        <f>SUM(O45:O47)</f>
        <v/>
      </c>
      <c r="P48" s="24">
        <f>SUM(P45:P47)</f>
        <v/>
      </c>
    </row>
    <row r="50">
      <c r="B50" s="14" t="inlineStr">
        <is>
          <t>NPV by initiative (standalone; adds up to the strategy NPV)</t>
        </is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</row>
    <row r="51">
      <c r="B51" t="inlineStr">
        <is>
          <t>NPV: Initiative A1</t>
        </is>
      </c>
      <c r="C51" t="inlineStr">
        <is>
          <t>EURm</t>
        </is>
      </c>
      <c r="E51" s="33">
        <f>Calculations!$E$181</f>
        <v/>
      </c>
    </row>
    <row r="52">
      <c r="B52" t="inlineStr">
        <is>
          <t>NPV: Initiative B1</t>
        </is>
      </c>
      <c r="C52" t="inlineStr">
        <is>
          <t>EURm</t>
        </is>
      </c>
      <c r="E52" s="33">
        <f>Calculations!$E$183</f>
        <v/>
      </c>
    </row>
    <row r="53">
      <c r="B53" t="inlineStr">
        <is>
          <t>NPV: Initiative C1</t>
        </is>
      </c>
      <c r="C53" t="inlineStr">
        <is>
          <t>EURm</t>
        </is>
      </c>
      <c r="E53" s="33">
        <f>Calculations!$E$185</f>
        <v/>
      </c>
    </row>
    <row r="55">
      <c r="B55" s="14" t="inlineStr">
        <is>
          <t>Incremental EBIT by initiative</t>
        </is>
      </c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</row>
    <row r="56">
      <c r="B56" t="inlineStr">
        <is>
          <t>Incremental EBIT: Initiative A1</t>
        </is>
      </c>
      <c r="C56" t="inlineStr">
        <is>
          <t>EURm</t>
        </is>
      </c>
      <c r="L56" s="24">
        <f>Calculations!L149</f>
        <v/>
      </c>
      <c r="M56" s="24">
        <f>Calculations!M149</f>
        <v/>
      </c>
      <c r="N56" s="24">
        <f>Calculations!N149</f>
        <v/>
      </c>
      <c r="O56" s="24">
        <f>Calculations!O149</f>
        <v/>
      </c>
      <c r="P56" s="24">
        <f>Calculations!P149</f>
        <v/>
      </c>
    </row>
    <row r="57">
      <c r="B57" t="inlineStr">
        <is>
          <t>Incremental EBIT: Initiative B1</t>
        </is>
      </c>
      <c r="C57" t="inlineStr">
        <is>
          <t>EURm</t>
        </is>
      </c>
      <c r="L57" s="24">
        <f>Calculations!L150</f>
        <v/>
      </c>
      <c r="M57" s="24">
        <f>Calculations!M150</f>
        <v/>
      </c>
      <c r="N57" s="24">
        <f>Calculations!N150</f>
        <v/>
      </c>
      <c r="O57" s="24">
        <f>Calculations!O150</f>
        <v/>
      </c>
      <c r="P57" s="24">
        <f>Calculations!P150</f>
        <v/>
      </c>
    </row>
    <row r="58">
      <c r="B58" t="inlineStr">
        <is>
          <t>Incremental EBIT: Initiative C1</t>
        </is>
      </c>
      <c r="C58" t="inlineStr">
        <is>
          <t>EURm</t>
        </is>
      </c>
      <c r="L58" s="24">
        <f>Calculations!L151</f>
        <v/>
      </c>
      <c r="M58" s="24">
        <f>Calculations!M151</f>
        <v/>
      </c>
      <c r="N58" s="24">
        <f>Calculations!N151</f>
        <v/>
      </c>
      <c r="O58" s="24">
        <f>Calculations!O151</f>
        <v/>
      </c>
      <c r="P58" s="24">
        <f>Calculations!P151</f>
        <v/>
      </c>
    </row>
    <row r="59">
      <c r="B59" t="inlineStr">
        <is>
          <t>Total incremental EBIT</t>
        </is>
      </c>
      <c r="C59" t="inlineStr">
        <is>
          <t>EURm</t>
        </is>
      </c>
      <c r="L59" s="24">
        <f>SUM(L56:L58)</f>
        <v/>
      </c>
      <c r="M59" s="24">
        <f>SUM(M56:M58)</f>
        <v/>
      </c>
      <c r="N59" s="24">
        <f>SUM(N56:N58)</f>
        <v/>
      </c>
      <c r="O59" s="24">
        <f>SUM(O56:O58)</f>
        <v/>
      </c>
      <c r="P59" s="24">
        <f>SUM(P56:P58)</f>
        <v/>
      </c>
    </row>
    <row r="61">
      <c r="B61" s="14" t="inlineStr">
        <is>
          <t>Incremental profit and cash</t>
        </is>
      </c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</row>
    <row r="62">
      <c r="B62" t="inlineStr">
        <is>
          <t>Incremental EBIT</t>
        </is>
      </c>
      <c r="C62" t="inlineStr">
        <is>
          <t>EURm</t>
        </is>
      </c>
      <c r="L62" s="24">
        <f>Calculations!L160</f>
        <v/>
      </c>
      <c r="M62" s="24">
        <f>Calculations!M160</f>
        <v/>
      </c>
      <c r="N62" s="24">
        <f>Calculations!N160</f>
        <v/>
      </c>
      <c r="O62" s="24">
        <f>Calculations!O160</f>
        <v/>
      </c>
      <c r="P62" s="24">
        <f>Calculations!P160</f>
        <v/>
      </c>
    </row>
    <row r="63">
      <c r="B63" t="inlineStr">
        <is>
          <t>Incremental free cash flow</t>
        </is>
      </c>
      <c r="C63" t="inlineStr">
        <is>
          <t>EURm</t>
        </is>
      </c>
      <c r="L63" s="24">
        <f>Calculations!L163</f>
        <v/>
      </c>
      <c r="M63" s="24">
        <f>Calculations!M163</f>
        <v/>
      </c>
      <c r="N63" s="24">
        <f>Calculations!N163</f>
        <v/>
      </c>
      <c r="O63" s="24">
        <f>Calculations!O163</f>
        <v/>
      </c>
      <c r="P63" s="24">
        <f>Calculations!P163</f>
        <v/>
      </c>
    </row>
    <row r="64">
      <c r="B64" t="inlineStr">
        <is>
          <t>Cumulative incremental free cash flow</t>
        </is>
      </c>
      <c r="C64" t="inlineStr">
        <is>
          <t>EURm</t>
        </is>
      </c>
      <c r="L64" s="24">
        <f>Calculations!L166</f>
        <v/>
      </c>
      <c r="M64" s="24">
        <f>Calculations!M166</f>
        <v/>
      </c>
      <c r="N64" s="24">
        <f>Calculations!N166</f>
        <v/>
      </c>
      <c r="O64" s="24">
        <f>Calculations!O166</f>
        <v/>
      </c>
      <c r="P64" s="24">
        <f>Calculations!P166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16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B1" s="6" t="inlineStr">
        <is>
          <t>Revenue bridge 2029: baseline to target (EURm)</t>
        </is>
      </c>
    </row>
    <row r="2">
      <c r="B2" s="7" t="inlineStr">
        <is>
          <t>One-slide impact bridge. Columns D-G drive the waterfall chart.</t>
        </is>
      </c>
    </row>
    <row r="4">
      <c r="B4" s="3" t="inlineStr">
        <is>
          <t>Step</t>
        </is>
      </c>
      <c r="C4" s="3" t="inlineStr">
        <is>
          <t>Value</t>
        </is>
      </c>
      <c r="D4" s="3" t="inlineStr">
        <is>
          <t>Invisible base</t>
        </is>
      </c>
      <c r="E4" s="3" t="inlineStr">
        <is>
          <t>Increase</t>
        </is>
      </c>
      <c r="F4" s="3" t="inlineStr">
        <is>
          <t>Decrease</t>
        </is>
      </c>
      <c r="G4" s="3" t="inlineStr">
        <is>
          <t>Level</t>
        </is>
      </c>
      <c r="H4" s="3" t="inlineStr">
        <is>
          <t>Running total</t>
        </is>
      </c>
    </row>
    <row r="5">
      <c r="B5" t="inlineStr">
        <is>
          <t>Baseline revenue 2029 (do nothing)</t>
        </is>
      </c>
      <c r="C5" s="24">
        <f>Calculations!P117</f>
        <v/>
      </c>
      <c r="D5" s="24" t="n"/>
      <c r="E5" s="24" t="n"/>
      <c r="F5" s="24" t="n"/>
      <c r="G5" s="24">
        <f>C5</f>
        <v/>
      </c>
      <c r="H5" s="24">
        <f>C5</f>
        <v/>
      </c>
    </row>
    <row r="6">
      <c r="B6" t="inlineStr">
        <is>
          <t>Pillar A: Initiative A1</t>
        </is>
      </c>
      <c r="C6" s="24">
        <f>Calculations!P125</f>
        <v/>
      </c>
      <c r="D6" s="24">
        <f>IF(C6&gt;=0,H5,H5+C6)</f>
        <v/>
      </c>
      <c r="E6" s="24">
        <f>MAX(C6,0)</f>
        <v/>
      </c>
      <c r="F6" s="24">
        <f>MAX(-C6,0)</f>
        <v/>
      </c>
      <c r="G6" s="24" t="n"/>
      <c r="H6" s="24">
        <f>H5+C6</f>
        <v/>
      </c>
    </row>
    <row r="7">
      <c r="B7" t="inlineStr">
        <is>
          <t>Pillar B: Initiative B1</t>
        </is>
      </c>
      <c r="C7" s="24">
        <f>Calculations!P126</f>
        <v/>
      </c>
      <c r="D7" s="24">
        <f>IF(C7&gt;=0,H6,H6+C7)</f>
        <v/>
      </c>
      <c r="E7" s="24">
        <f>MAX(C7,0)</f>
        <v/>
      </c>
      <c r="F7" s="24">
        <f>MAX(-C7,0)</f>
        <v/>
      </c>
      <c r="G7" s="24" t="n"/>
      <c r="H7" s="24">
        <f>H6+C7</f>
        <v/>
      </c>
    </row>
    <row r="8">
      <c r="B8" t="inlineStr">
        <is>
          <t>Pillar C: Initiative C1</t>
        </is>
      </c>
      <c r="C8" s="24">
        <f>Calculations!P127</f>
        <v/>
      </c>
      <c r="D8" s="24">
        <f>IF(C8&gt;=0,H7,H7+C8)</f>
        <v/>
      </c>
      <c r="E8" s="24">
        <f>MAX(C8,0)</f>
        <v/>
      </c>
      <c r="F8" s="24">
        <f>MAX(-C8,0)</f>
        <v/>
      </c>
      <c r="G8" s="24" t="n"/>
      <c r="H8" s="24">
        <f>H7+C8</f>
        <v/>
      </c>
    </row>
    <row r="9">
      <c r="B9" t="inlineStr">
        <is>
          <t>Target revenue 2029 (with strategy)</t>
        </is>
      </c>
      <c r="C9" s="24">
        <f>Calculations!P118</f>
        <v/>
      </c>
      <c r="D9" s="24" t="n"/>
      <c r="E9" s="24" t="n"/>
      <c r="F9" s="24" t="n"/>
      <c r="G9" s="24">
        <f>C9</f>
        <v/>
      </c>
      <c r="H9" s="24">
        <f>C9</f>
        <v/>
      </c>
    </row>
    <row r="11">
      <c r="B11" s="2" t="inlineStr">
        <is>
          <t>Incremental EBIT bridge 2029 by initiative (EURm)</t>
        </is>
      </c>
    </row>
    <row r="12">
      <c r="B12" t="inlineStr">
        <is>
          <t>Do nothing (no incremental EBIT)</t>
        </is>
      </c>
      <c r="C12" s="24">
        <f>0</f>
        <v/>
      </c>
      <c r="D12" s="24" t="n"/>
      <c r="E12" s="24" t="n"/>
      <c r="F12" s="24" t="n"/>
      <c r="G12" s="24">
        <f>C12</f>
        <v/>
      </c>
      <c r="H12" s="24">
        <f>C12</f>
        <v/>
      </c>
    </row>
    <row r="13">
      <c r="B13" t="inlineStr">
        <is>
          <t>Pillar A: Initiative A1</t>
        </is>
      </c>
      <c r="C13" s="24">
        <f>Calculations!P149</f>
        <v/>
      </c>
      <c r="D13" s="24">
        <f>IF(C13&gt;=0,H12,H12+C13)</f>
        <v/>
      </c>
      <c r="E13" s="24">
        <f>MAX(C13,0)</f>
        <v/>
      </c>
      <c r="F13" s="24">
        <f>MAX(-C13,0)</f>
        <v/>
      </c>
      <c r="G13" s="24" t="n"/>
      <c r="H13" s="24">
        <f>H12+C13</f>
        <v/>
      </c>
    </row>
    <row r="14">
      <c r="B14" t="inlineStr">
        <is>
          <t>Pillar B: Initiative B1</t>
        </is>
      </c>
      <c r="C14" s="24">
        <f>Calculations!P150</f>
        <v/>
      </c>
      <c r="D14" s="24">
        <f>IF(C14&gt;=0,H13,H13+C14)</f>
        <v/>
      </c>
      <c r="E14" s="24">
        <f>MAX(C14,0)</f>
        <v/>
      </c>
      <c r="F14" s="24">
        <f>MAX(-C14,0)</f>
        <v/>
      </c>
      <c r="G14" s="24" t="n"/>
      <c r="H14" s="24">
        <f>H13+C14</f>
        <v/>
      </c>
    </row>
    <row r="15">
      <c r="B15" t="inlineStr">
        <is>
          <t>Pillar C: Initiative C1</t>
        </is>
      </c>
      <c r="C15" s="24">
        <f>Calculations!P151</f>
        <v/>
      </c>
      <c r="D15" s="24">
        <f>IF(C15&gt;=0,H14,H14+C15)</f>
        <v/>
      </c>
      <c r="E15" s="24">
        <f>MAX(C15,0)</f>
        <v/>
      </c>
      <c r="F15" s="24">
        <f>MAX(-C15,0)</f>
        <v/>
      </c>
      <c r="G15" s="24" t="n"/>
      <c r="H15" s="24">
        <f>H14+C15</f>
        <v/>
      </c>
    </row>
    <row r="16">
      <c r="B16" t="inlineStr">
        <is>
          <t>Incremental EBIT 2029 (with strategy)</t>
        </is>
      </c>
      <c r="C16" s="24">
        <f>Calculations!P160</f>
        <v/>
      </c>
      <c r="D16" s="24" t="n"/>
      <c r="E16" s="24" t="n"/>
      <c r="F16" s="24" t="n"/>
      <c r="G16" s="24">
        <f>C16</f>
        <v/>
      </c>
      <c r="H16" s="24">
        <f>C16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P76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B1" s="6" t="inlineStr">
        <is>
          <t>Sensitivity - scenarios, tornado, two-way tables</t>
        </is>
      </c>
    </row>
    <row r="2">
      <c r="B2" s="7" t="inlineStr">
        <is>
          <t>Live Excel Data Tables (Data &gt; What-If). Leave the orange controls at Base / 0 / blank.</t>
        </is>
      </c>
    </row>
    <row r="4">
      <c r="B4" s="14" t="inlineStr">
        <is>
          <t>Controls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</row>
    <row r="5">
      <c r="B5" t="inlineStr">
        <is>
          <t>Scenario switch (1 = Low, 2 = Base, 3 = High)</t>
        </is>
      </c>
      <c r="E5" s="37" t="n">
        <v>2</v>
      </c>
    </row>
    <row r="6">
      <c r="B6" t="inlineStr">
        <is>
          <t>Tornado selector (0 = off; set by the tornado Data Tables)</t>
        </is>
      </c>
      <c r="E6" s="37" t="n">
        <v>0</v>
      </c>
    </row>
    <row r="7">
      <c r="B7" t="inlineStr">
        <is>
          <t>Override for two-way table: Pillar C: peak uplift in average ticket (leave blank)</t>
        </is>
      </c>
      <c r="E7" s="37" t="n"/>
    </row>
    <row r="8">
      <c r="B8" t="inlineStr">
        <is>
          <t>Override for two-way table: Contribution margin on incremental revenue (leave blank)</t>
        </is>
      </c>
      <c r="E8" s="37" t="n"/>
    </row>
    <row r="9">
      <c r="B9" t="inlineStr">
        <is>
          <t>Override for two-way table: Terminal growth of incremental FCF after the horizon (leave blank)</t>
        </is>
      </c>
      <c r="E9" s="37" t="n"/>
    </row>
    <row r="10">
      <c r="B10" t="inlineStr">
        <is>
          <t>Override for two-way table: Bass p (leave blank)</t>
        </is>
      </c>
      <c r="E10" s="37" t="n"/>
    </row>
    <row r="13">
      <c r="B13" s="14" t="inlineStr">
        <is>
          <t>Scenarios: Low / Base / High (every ranged input moves to its pessimistic / optimistic end)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B14" s="3" t="inlineStr">
        <is>
          <t>Scenario</t>
        </is>
      </c>
      <c r="C14" s="3" t="inlineStr">
        <is>
          <t>Switch</t>
        </is>
      </c>
      <c r="D14" s="3" t="inlineStr">
        <is>
          <t>NPV</t>
        </is>
      </c>
      <c r="E14" s="3" t="inlineStr">
        <is>
          <t>Incr. revenue 2029</t>
        </is>
      </c>
      <c r="F14" s="3" t="inlineStr">
        <is>
          <t>Incr. EBIT 2029</t>
        </is>
      </c>
      <c r="G14" s="3" t="inlineStr">
        <is>
          <t>Cumulative incr. revenue</t>
        </is>
      </c>
    </row>
    <row r="15">
      <c r="B15" t="inlineStr">
        <is>
          <t>Live (current switches)</t>
        </is>
      </c>
      <c r="D15" s="24">
        <f>Calculations!$E$172</f>
        <v/>
      </c>
      <c r="E15" s="24">
        <f>Calculations!$E$176</f>
        <v/>
      </c>
      <c r="F15" s="24">
        <f>Calculations!$E$177</f>
        <v/>
      </c>
      <c r="G15" s="24">
        <f>Calculations!$E$175</f>
        <v/>
      </c>
    </row>
    <row r="16">
      <c r="B16" t="inlineStr">
        <is>
          <t>Low</t>
        </is>
      </c>
      <c r="C16" t="n">
        <v>1</v>
      </c>
      <c r="D16" s="24">
        <f t="dataTable" ref="D16:G18" dtr="0" r1="E5"/>
        <v/>
      </c>
      <c r="E16" s="24" t="n"/>
      <c r="F16" s="24" t="n"/>
      <c r="G16" s="24" t="n"/>
    </row>
    <row r="17">
      <c r="B17" t="inlineStr">
        <is>
          <t>Base</t>
        </is>
      </c>
      <c r="C17" t="n">
        <v>2</v>
      </c>
      <c r="D17" s="24" t="n"/>
      <c r="E17" s="24" t="n"/>
      <c r="F17" s="24" t="n"/>
      <c r="G17" s="24" t="n"/>
    </row>
    <row r="18">
      <c r="B18" t="inlineStr">
        <is>
          <t>High</t>
        </is>
      </c>
      <c r="C18" t="n">
        <v>3</v>
      </c>
      <c r="D18" s="24" t="n"/>
      <c r="E18" s="24" t="n"/>
      <c r="F18" s="24" t="n"/>
      <c r="G18" s="24" t="n"/>
    </row>
    <row r="21">
      <c r="B21" s="14" t="inlineStr">
        <is>
          <t>Tornado: NPV with each input at its low and high value, others at base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B22" s="3" t="inlineStr">
        <is>
          <t>Input</t>
        </is>
      </c>
      <c r="C22" s="3" t="inlineStr">
        <is>
          <t>Selector (low)</t>
        </is>
      </c>
      <c r="D22" s="3" t="inlineStr">
        <is>
          <t>NPV at low</t>
        </is>
      </c>
      <c r="E22" s="3" t="inlineStr">
        <is>
          <t>Selector (high)</t>
        </is>
      </c>
      <c r="F22" s="3" t="inlineStr">
        <is>
          <t>NPV at high</t>
        </is>
      </c>
      <c r="G22" s="3" t="inlineStr">
        <is>
          <t>Base NPV</t>
        </is>
      </c>
      <c r="H22" s="3" t="inlineStr">
        <is>
          <t>Delta at low</t>
        </is>
      </c>
      <c r="I22" s="3" t="inlineStr">
        <is>
          <t>Delta at high</t>
        </is>
      </c>
      <c r="J22" s="3" t="inlineStr">
        <is>
          <t>Swing</t>
        </is>
      </c>
      <c r="K22" s="3" t="inlineStr">
        <is>
          <t>Rank</t>
        </is>
      </c>
      <c r="L22" s="3" t="inlineStr">
        <is>
          <t>Sort key</t>
        </is>
      </c>
    </row>
    <row r="23">
      <c r="B23" t="inlineStr">
        <is>
          <t>Live NPV</t>
        </is>
      </c>
      <c r="D23">
        <f>Calculations!$E$172</f>
        <v/>
      </c>
      <c r="F23">
        <f>Calculations!$E$172</f>
        <v/>
      </c>
    </row>
    <row r="24">
      <c r="B24">
        <f>Inputs!$B$8</f>
        <v/>
      </c>
      <c r="C24">
        <f>-Inputs!$A$8</f>
        <v/>
      </c>
      <c r="D24" s="24">
        <f t="dataTable" ref="D24:D43" dtr="0" r1="E6"/>
        <v/>
      </c>
      <c r="E24" s="24">
        <f>Inputs!$A$8</f>
        <v/>
      </c>
      <c r="F24" s="24">
        <f t="dataTable" ref="F24:F43" dtr="0" r1="E6"/>
        <v/>
      </c>
      <c r="G24" s="24">
        <f>Calculations!$E$172</f>
        <v/>
      </c>
      <c r="H24" s="24">
        <f>D24-G24</f>
        <v/>
      </c>
      <c r="I24" s="24">
        <f>F24-G24</f>
        <v/>
      </c>
      <c r="J24" s="24">
        <f>ABS(F24-D24)</f>
        <v/>
      </c>
      <c r="K24">
        <f>RANK(L24,$L$24:$L$43)</f>
        <v/>
      </c>
      <c r="L24">
        <f>J24+ROWS($J$24:J24)*Inputs!$F$50</f>
        <v/>
      </c>
    </row>
    <row r="25">
      <c r="B25">
        <f>Inputs!$B$11</f>
        <v/>
      </c>
      <c r="C25">
        <f>-Inputs!$A$11</f>
        <v/>
      </c>
      <c r="D25" s="24" t="n"/>
      <c r="E25" s="24">
        <f>Inputs!$A$11</f>
        <v/>
      </c>
      <c r="F25" s="24" t="n"/>
      <c r="G25" s="24">
        <f>Calculations!$E$172</f>
        <v/>
      </c>
      <c r="H25" s="24">
        <f>D25-G25</f>
        <v/>
      </c>
      <c r="I25" s="24">
        <f>F25-G25</f>
        <v/>
      </c>
      <c r="J25" s="24">
        <f>ABS(F25-D25)</f>
        <v/>
      </c>
      <c r="K25">
        <f>RANK(L25,$L$24:$L$43)</f>
        <v/>
      </c>
      <c r="L25">
        <f>J25+ROWS($J$24:J25)*Inputs!$F$50</f>
        <v/>
      </c>
    </row>
    <row r="26">
      <c r="B26">
        <f>Inputs!$B$18</f>
        <v/>
      </c>
      <c r="C26">
        <f>-Inputs!$A$18</f>
        <v/>
      </c>
      <c r="D26" s="24" t="n"/>
      <c r="E26" s="24">
        <f>Inputs!$A$18</f>
        <v/>
      </c>
      <c r="F26" s="24" t="n"/>
      <c r="G26" s="24">
        <f>Calculations!$E$172</f>
        <v/>
      </c>
      <c r="H26" s="24">
        <f>D26-G26</f>
        <v/>
      </c>
      <c r="I26" s="24">
        <f>F26-G26</f>
        <v/>
      </c>
      <c r="J26" s="24">
        <f>ABS(F26-D26)</f>
        <v/>
      </c>
      <c r="K26">
        <f>RANK(L26,$L$24:$L$43)</f>
        <v/>
      </c>
      <c r="L26">
        <f>J26+ROWS($J$24:J26)*Inputs!$F$50</f>
        <v/>
      </c>
    </row>
    <row r="27">
      <c r="B27">
        <f>Inputs!$B$19</f>
        <v/>
      </c>
      <c r="C27">
        <f>-Inputs!$A$19</f>
        <v/>
      </c>
      <c r="D27" s="24" t="n"/>
      <c r="E27" s="24">
        <f>Inputs!$A$19</f>
        <v/>
      </c>
      <c r="F27" s="24" t="n"/>
      <c r="G27" s="24">
        <f>Calculations!$E$172</f>
        <v/>
      </c>
      <c r="H27" s="24">
        <f>D27-G27</f>
        <v/>
      </c>
      <c r="I27" s="24">
        <f>F27-G27</f>
        <v/>
      </c>
      <c r="J27" s="24">
        <f>ABS(F27-D27)</f>
        <v/>
      </c>
      <c r="K27">
        <f>RANK(L27,$L$24:$L$43)</f>
        <v/>
      </c>
      <c r="L27">
        <f>J27+ROWS($J$24:J27)*Inputs!$F$50</f>
        <v/>
      </c>
    </row>
    <row r="28">
      <c r="B28">
        <f>Inputs!$B$20</f>
        <v/>
      </c>
      <c r="C28">
        <f>-Inputs!$A$20</f>
        <v/>
      </c>
      <c r="D28" s="24" t="n"/>
      <c r="E28" s="24">
        <f>Inputs!$A$20</f>
        <v/>
      </c>
      <c r="F28" s="24" t="n"/>
      <c r="G28" s="24">
        <f>Calculations!$E$172</f>
        <v/>
      </c>
      <c r="H28" s="24">
        <f>D28-G28</f>
        <v/>
      </c>
      <c r="I28" s="24">
        <f>F28-G28</f>
        <v/>
      </c>
      <c r="J28" s="24">
        <f>ABS(F28-D28)</f>
        <v/>
      </c>
      <c r="K28">
        <f>RANK(L28,$L$24:$L$43)</f>
        <v/>
      </c>
      <c r="L28">
        <f>J28+ROWS($J$24:J28)*Inputs!$F$50</f>
        <v/>
      </c>
    </row>
    <row r="29">
      <c r="B29">
        <f>Inputs!$B$21</f>
        <v/>
      </c>
      <c r="C29">
        <f>-Inputs!$A$21</f>
        <v/>
      </c>
      <c r="D29" s="24" t="n"/>
      <c r="E29" s="24">
        <f>Inputs!$A$21</f>
        <v/>
      </c>
      <c r="F29" s="24" t="n"/>
      <c r="G29" s="24">
        <f>Calculations!$E$172</f>
        <v/>
      </c>
      <c r="H29" s="24">
        <f>D29-G29</f>
        <v/>
      </c>
      <c r="I29" s="24">
        <f>F29-G29</f>
        <v/>
      </c>
      <c r="J29" s="24">
        <f>ABS(F29-D29)</f>
        <v/>
      </c>
      <c r="K29">
        <f>RANK(L29,$L$24:$L$43)</f>
        <v/>
      </c>
      <c r="L29">
        <f>J29+ROWS($J$24:J29)*Inputs!$F$50</f>
        <v/>
      </c>
    </row>
    <row r="30">
      <c r="B30">
        <f>Inputs!$B$24</f>
        <v/>
      </c>
      <c r="C30">
        <f>-Inputs!$A$24</f>
        <v/>
      </c>
      <c r="D30" s="24" t="n"/>
      <c r="E30" s="24">
        <f>Inputs!$A$24</f>
        <v/>
      </c>
      <c r="F30" s="24" t="n"/>
      <c r="G30" s="24">
        <f>Calculations!$E$172</f>
        <v/>
      </c>
      <c r="H30" s="24">
        <f>D30-G30</f>
        <v/>
      </c>
      <c r="I30" s="24">
        <f>F30-G30</f>
        <v/>
      </c>
      <c r="J30" s="24">
        <f>ABS(F30-D30)</f>
        <v/>
      </c>
      <c r="K30">
        <f>RANK(L30,$L$24:$L$43)</f>
        <v/>
      </c>
      <c r="L30">
        <f>J30+ROWS($J$24:J30)*Inputs!$F$50</f>
        <v/>
      </c>
    </row>
    <row r="31">
      <c r="B31">
        <f>Inputs!$B$27</f>
        <v/>
      </c>
      <c r="C31">
        <f>-Inputs!$A$27</f>
        <v/>
      </c>
      <c r="D31" s="24" t="n"/>
      <c r="E31" s="24">
        <f>Inputs!$A$27</f>
        <v/>
      </c>
      <c r="F31" s="24" t="n"/>
      <c r="G31" s="24">
        <f>Calculations!$E$172</f>
        <v/>
      </c>
      <c r="H31" s="24">
        <f>D31-G31</f>
        <v/>
      </c>
      <c r="I31" s="24">
        <f>F31-G31</f>
        <v/>
      </c>
      <c r="J31" s="24">
        <f>ABS(F31-D31)</f>
        <v/>
      </c>
      <c r="K31">
        <f>RANK(L31,$L$24:$L$43)</f>
        <v/>
      </c>
      <c r="L31">
        <f>J31+ROWS($J$24:J31)*Inputs!$F$50</f>
        <v/>
      </c>
    </row>
    <row r="32">
      <c r="B32">
        <f>Inputs!$B$28</f>
        <v/>
      </c>
      <c r="C32">
        <f>-Inputs!$A$28</f>
        <v/>
      </c>
      <c r="D32" s="24" t="n"/>
      <c r="E32" s="24">
        <f>Inputs!$A$28</f>
        <v/>
      </c>
      <c r="F32" s="24" t="n"/>
      <c r="G32" s="24">
        <f>Calculations!$E$172</f>
        <v/>
      </c>
      <c r="H32" s="24">
        <f>D32-G32</f>
        <v/>
      </c>
      <c r="I32" s="24">
        <f>F32-G32</f>
        <v/>
      </c>
      <c r="J32" s="24">
        <f>ABS(F32-D32)</f>
        <v/>
      </c>
      <c r="K32">
        <f>RANK(L32,$L$24:$L$43)</f>
        <v/>
      </c>
      <c r="L32">
        <f>J32+ROWS($J$24:J32)*Inputs!$F$50</f>
        <v/>
      </c>
    </row>
    <row r="33">
      <c r="B33">
        <f>Inputs!$B$31</f>
        <v/>
      </c>
      <c r="C33">
        <f>-Inputs!$A$31</f>
        <v/>
      </c>
      <c r="D33" s="24" t="n"/>
      <c r="E33" s="24">
        <f>Inputs!$A$31</f>
        <v/>
      </c>
      <c r="F33" s="24" t="n"/>
      <c r="G33" s="24">
        <f>Calculations!$E$172</f>
        <v/>
      </c>
      <c r="H33" s="24">
        <f>D33-G33</f>
        <v/>
      </c>
      <c r="I33" s="24">
        <f>F33-G33</f>
        <v/>
      </c>
      <c r="J33" s="24">
        <f>ABS(F33-D33)</f>
        <v/>
      </c>
      <c r="K33">
        <f>RANK(L33,$L$24:$L$43)</f>
        <v/>
      </c>
      <c r="L33">
        <f>J33+ROWS($J$24:J33)*Inputs!$F$50</f>
        <v/>
      </c>
    </row>
    <row r="34">
      <c r="B34">
        <f>Inputs!$B$32</f>
        <v/>
      </c>
      <c r="C34">
        <f>-Inputs!$A$32</f>
        <v/>
      </c>
      <c r="D34" s="24" t="n"/>
      <c r="E34" s="24">
        <f>Inputs!$A$32</f>
        <v/>
      </c>
      <c r="F34" s="24" t="n"/>
      <c r="G34" s="24">
        <f>Calculations!$E$172</f>
        <v/>
      </c>
      <c r="H34" s="24">
        <f>D34-G34</f>
        <v/>
      </c>
      <c r="I34" s="24">
        <f>F34-G34</f>
        <v/>
      </c>
      <c r="J34" s="24">
        <f>ABS(F34-D34)</f>
        <v/>
      </c>
      <c r="K34">
        <f>RANK(L34,$L$24:$L$43)</f>
        <v/>
      </c>
      <c r="L34">
        <f>J34+ROWS($J$24:J34)*Inputs!$F$50</f>
        <v/>
      </c>
    </row>
    <row r="35">
      <c r="B35">
        <f>Inputs!$B$33</f>
        <v/>
      </c>
      <c r="C35">
        <f>-Inputs!$A$33</f>
        <v/>
      </c>
      <c r="D35" s="24" t="n"/>
      <c r="E35" s="24">
        <f>Inputs!$A$33</f>
        <v/>
      </c>
      <c r="F35" s="24" t="n"/>
      <c r="G35" s="24">
        <f>Calculations!$E$172</f>
        <v/>
      </c>
      <c r="H35" s="24">
        <f>D35-G35</f>
        <v/>
      </c>
      <c r="I35" s="24">
        <f>F35-G35</f>
        <v/>
      </c>
      <c r="J35" s="24">
        <f>ABS(F35-D35)</f>
        <v/>
      </c>
      <c r="K35">
        <f>RANK(L35,$L$24:$L$43)</f>
        <v/>
      </c>
      <c r="L35">
        <f>J35+ROWS($J$24:J35)*Inputs!$F$50</f>
        <v/>
      </c>
    </row>
    <row r="36">
      <c r="B36">
        <f>Inputs!$B$35</f>
        <v/>
      </c>
      <c r="C36">
        <f>-Inputs!$A$35</f>
        <v/>
      </c>
      <c r="D36" s="24" t="n"/>
      <c r="E36" s="24">
        <f>Inputs!$A$35</f>
        <v/>
      </c>
      <c r="F36" s="24" t="n"/>
      <c r="G36" s="24">
        <f>Calculations!$E$172</f>
        <v/>
      </c>
      <c r="H36" s="24">
        <f>D36-G36</f>
        <v/>
      </c>
      <c r="I36" s="24">
        <f>F36-G36</f>
        <v/>
      </c>
      <c r="J36" s="24">
        <f>ABS(F36-D36)</f>
        <v/>
      </c>
      <c r="K36">
        <f>RANK(L36,$L$24:$L$43)</f>
        <v/>
      </c>
      <c r="L36">
        <f>J36+ROWS($J$24:J36)*Inputs!$F$50</f>
        <v/>
      </c>
    </row>
    <row r="37">
      <c r="B37">
        <f>Inputs!$B$36</f>
        <v/>
      </c>
      <c r="C37">
        <f>-Inputs!$A$36</f>
        <v/>
      </c>
      <c r="D37" s="24" t="n"/>
      <c r="E37" s="24">
        <f>Inputs!$A$36</f>
        <v/>
      </c>
      <c r="F37" s="24" t="n"/>
      <c r="G37" s="24">
        <f>Calculations!$E$172</f>
        <v/>
      </c>
      <c r="H37" s="24">
        <f>D37-G37</f>
        <v/>
      </c>
      <c r="I37" s="24">
        <f>F37-G37</f>
        <v/>
      </c>
      <c r="J37" s="24">
        <f>ABS(F37-D37)</f>
        <v/>
      </c>
      <c r="K37">
        <f>RANK(L37,$L$24:$L$43)</f>
        <v/>
      </c>
      <c r="L37">
        <f>J37+ROWS($J$24:J37)*Inputs!$F$50</f>
        <v/>
      </c>
    </row>
    <row r="38">
      <c r="B38">
        <f>Inputs!$B$37</f>
        <v/>
      </c>
      <c r="C38">
        <f>-Inputs!$A$37</f>
        <v/>
      </c>
      <c r="D38" s="24" t="n"/>
      <c r="E38" s="24">
        <f>Inputs!$A$37</f>
        <v/>
      </c>
      <c r="F38" s="24" t="n"/>
      <c r="G38" s="24">
        <f>Calculations!$E$172</f>
        <v/>
      </c>
      <c r="H38" s="24">
        <f>D38-G38</f>
        <v/>
      </c>
      <c r="I38" s="24">
        <f>F38-G38</f>
        <v/>
      </c>
      <c r="J38" s="24">
        <f>ABS(F38-D38)</f>
        <v/>
      </c>
      <c r="K38">
        <f>RANK(L38,$L$24:$L$43)</f>
        <v/>
      </c>
      <c r="L38">
        <f>J38+ROWS($J$24:J38)*Inputs!$F$50</f>
        <v/>
      </c>
    </row>
    <row r="39">
      <c r="B39">
        <f>Inputs!$B$38</f>
        <v/>
      </c>
      <c r="C39">
        <f>-Inputs!$A$38</f>
        <v/>
      </c>
      <c r="D39" s="24" t="n"/>
      <c r="E39" s="24">
        <f>Inputs!$A$38</f>
        <v/>
      </c>
      <c r="F39" s="24" t="n"/>
      <c r="G39" s="24">
        <f>Calculations!$E$172</f>
        <v/>
      </c>
      <c r="H39" s="24">
        <f>D39-G39</f>
        <v/>
      </c>
      <c r="I39" s="24">
        <f>F39-G39</f>
        <v/>
      </c>
      <c r="J39" s="24">
        <f>ABS(F39-D39)</f>
        <v/>
      </c>
      <c r="K39">
        <f>RANK(L39,$L$24:$L$43)</f>
        <v/>
      </c>
      <c r="L39">
        <f>J39+ROWS($J$24:J39)*Inputs!$F$50</f>
        <v/>
      </c>
    </row>
    <row r="40">
      <c r="B40">
        <f>Inputs!$B$39</f>
        <v/>
      </c>
      <c r="C40">
        <f>-Inputs!$A$39</f>
        <v/>
      </c>
      <c r="D40" s="24" t="n"/>
      <c r="E40" s="24">
        <f>Inputs!$A$39</f>
        <v/>
      </c>
      <c r="F40" s="24" t="n"/>
      <c r="G40" s="24">
        <f>Calculations!$E$172</f>
        <v/>
      </c>
      <c r="H40" s="24">
        <f>D40-G40</f>
        <v/>
      </c>
      <c r="I40" s="24">
        <f>F40-G40</f>
        <v/>
      </c>
      <c r="J40" s="24">
        <f>ABS(F40-D40)</f>
        <v/>
      </c>
      <c r="K40">
        <f>RANK(L40,$L$24:$L$43)</f>
        <v/>
      </c>
      <c r="L40">
        <f>J40+ROWS($J$24:J40)*Inputs!$F$50</f>
        <v/>
      </c>
    </row>
    <row r="41">
      <c r="B41">
        <f>Inputs!$B$40</f>
        <v/>
      </c>
      <c r="C41">
        <f>-Inputs!$A$40</f>
        <v/>
      </c>
      <c r="D41" s="24" t="n"/>
      <c r="E41" s="24">
        <f>Inputs!$A$40</f>
        <v/>
      </c>
      <c r="F41" s="24" t="n"/>
      <c r="G41" s="24">
        <f>Calculations!$E$172</f>
        <v/>
      </c>
      <c r="H41" s="24">
        <f>D41-G41</f>
        <v/>
      </c>
      <c r="I41" s="24">
        <f>F41-G41</f>
        <v/>
      </c>
      <c r="J41" s="24">
        <f>ABS(F41-D41)</f>
        <v/>
      </c>
      <c r="K41">
        <f>RANK(L41,$L$24:$L$43)</f>
        <v/>
      </c>
      <c r="L41">
        <f>J41+ROWS($J$24:J41)*Inputs!$F$50</f>
        <v/>
      </c>
    </row>
    <row r="42">
      <c r="B42">
        <f>Inputs!$B$41</f>
        <v/>
      </c>
      <c r="C42">
        <f>-Inputs!$A$41</f>
        <v/>
      </c>
      <c r="D42" s="24" t="n"/>
      <c r="E42" s="24">
        <f>Inputs!$A$41</f>
        <v/>
      </c>
      <c r="F42" s="24" t="n"/>
      <c r="G42" s="24">
        <f>Calculations!$E$172</f>
        <v/>
      </c>
      <c r="H42" s="24">
        <f>D42-G42</f>
        <v/>
      </c>
      <c r="I42" s="24">
        <f>F42-G42</f>
        <v/>
      </c>
      <c r="J42" s="24">
        <f>ABS(F42-D42)</f>
        <v/>
      </c>
      <c r="K42">
        <f>RANK(L42,$L$24:$L$43)</f>
        <v/>
      </c>
      <c r="L42">
        <f>J42+ROWS($J$24:J42)*Inputs!$F$50</f>
        <v/>
      </c>
    </row>
    <row r="43">
      <c r="B43">
        <f>Inputs!$B$42</f>
        <v/>
      </c>
      <c r="C43">
        <f>-Inputs!$A$42</f>
        <v/>
      </c>
      <c r="D43" s="24" t="n"/>
      <c r="E43" s="24">
        <f>Inputs!$A$42</f>
        <v/>
      </c>
      <c r="F43" s="24" t="n"/>
      <c r="G43" s="24">
        <f>Calculations!$E$172</f>
        <v/>
      </c>
      <c r="H43" s="24">
        <f>D43-G43</f>
        <v/>
      </c>
      <c r="I43" s="24">
        <f>F43-G43</f>
        <v/>
      </c>
      <c r="J43" s="24">
        <f>ABS(F43-D43)</f>
        <v/>
      </c>
      <c r="K43">
        <f>RANK(L43,$L$24:$L$43)</f>
        <v/>
      </c>
      <c r="L43">
        <f>J43+ROWS($J$24:J43)*Inputs!$F$50</f>
        <v/>
      </c>
    </row>
    <row r="46">
      <c r="B46" s="14" t="inlineStr">
        <is>
          <t>Tornado chart data: top 10 inputs by swing</t>
        </is>
      </c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</row>
    <row r="47">
      <c r="B47" s="3" t="inlineStr">
        <is>
          <t>Rank</t>
        </is>
      </c>
      <c r="C47" s="3" t="inlineStr">
        <is>
          <t>Input</t>
        </is>
      </c>
      <c r="D47" s="3" t="inlineStr">
        <is>
          <t>Delta at low</t>
        </is>
      </c>
      <c r="E47" s="3" t="inlineStr">
        <is>
          <t>Delta at high</t>
        </is>
      </c>
    </row>
    <row r="48">
      <c r="B48">
        <f>ROWS($B$48:B48)</f>
        <v/>
      </c>
      <c r="C48">
        <f>INDEX($B$24:$B$43,MATCH(B48,$K$24:$K$43,0))</f>
        <v/>
      </c>
      <c r="D48" s="24">
        <f>INDEX($H$24:$H$43,MATCH(B48,$K$24:$K$43,0))</f>
        <v/>
      </c>
      <c r="E48" s="24">
        <f>INDEX($I$24:$I$43,MATCH(B48,$K$24:$K$43,0))</f>
        <v/>
      </c>
    </row>
    <row r="49">
      <c r="B49">
        <f>ROWS($B$48:B49)</f>
        <v/>
      </c>
      <c r="C49">
        <f>INDEX($B$24:$B$43,MATCH(B49,$K$24:$K$43,0))</f>
        <v/>
      </c>
      <c r="D49" s="24">
        <f>INDEX($H$24:$H$43,MATCH(B49,$K$24:$K$43,0))</f>
        <v/>
      </c>
      <c r="E49" s="24">
        <f>INDEX($I$24:$I$43,MATCH(B49,$K$24:$K$43,0))</f>
        <v/>
      </c>
    </row>
    <row r="50">
      <c r="B50">
        <f>ROWS($B$48:B50)</f>
        <v/>
      </c>
      <c r="C50">
        <f>INDEX($B$24:$B$43,MATCH(B50,$K$24:$K$43,0))</f>
        <v/>
      </c>
      <c r="D50" s="24">
        <f>INDEX($H$24:$H$43,MATCH(B50,$K$24:$K$43,0))</f>
        <v/>
      </c>
      <c r="E50" s="24">
        <f>INDEX($I$24:$I$43,MATCH(B50,$K$24:$K$43,0))</f>
        <v/>
      </c>
    </row>
    <row r="51">
      <c r="B51">
        <f>ROWS($B$48:B51)</f>
        <v/>
      </c>
      <c r="C51">
        <f>INDEX($B$24:$B$43,MATCH(B51,$K$24:$K$43,0))</f>
        <v/>
      </c>
      <c r="D51" s="24">
        <f>INDEX($H$24:$H$43,MATCH(B51,$K$24:$K$43,0))</f>
        <v/>
      </c>
      <c r="E51" s="24">
        <f>INDEX($I$24:$I$43,MATCH(B51,$K$24:$K$43,0))</f>
        <v/>
      </c>
    </row>
    <row r="52">
      <c r="B52">
        <f>ROWS($B$48:B52)</f>
        <v/>
      </c>
      <c r="C52">
        <f>INDEX($B$24:$B$43,MATCH(B52,$K$24:$K$43,0))</f>
        <v/>
      </c>
      <c r="D52" s="24">
        <f>INDEX($H$24:$H$43,MATCH(B52,$K$24:$K$43,0))</f>
        <v/>
      </c>
      <c r="E52" s="24">
        <f>INDEX($I$24:$I$43,MATCH(B52,$K$24:$K$43,0))</f>
        <v/>
      </c>
    </row>
    <row r="53">
      <c r="B53">
        <f>ROWS($B$48:B53)</f>
        <v/>
      </c>
      <c r="C53">
        <f>INDEX($B$24:$B$43,MATCH(B53,$K$24:$K$43,0))</f>
        <v/>
      </c>
      <c r="D53" s="24">
        <f>INDEX($H$24:$H$43,MATCH(B53,$K$24:$K$43,0))</f>
        <v/>
      </c>
      <c r="E53" s="24">
        <f>INDEX($I$24:$I$43,MATCH(B53,$K$24:$K$43,0))</f>
        <v/>
      </c>
    </row>
    <row r="54">
      <c r="B54">
        <f>ROWS($B$48:B54)</f>
        <v/>
      </c>
      <c r="C54">
        <f>INDEX($B$24:$B$43,MATCH(B54,$K$24:$K$43,0))</f>
        <v/>
      </c>
      <c r="D54" s="24">
        <f>INDEX($H$24:$H$43,MATCH(B54,$K$24:$K$43,0))</f>
        <v/>
      </c>
      <c r="E54" s="24">
        <f>INDEX($I$24:$I$43,MATCH(B54,$K$24:$K$43,0))</f>
        <v/>
      </c>
    </row>
    <row r="55">
      <c r="B55">
        <f>ROWS($B$48:B55)</f>
        <v/>
      </c>
      <c r="C55">
        <f>INDEX($B$24:$B$43,MATCH(B55,$K$24:$K$43,0))</f>
        <v/>
      </c>
      <c r="D55" s="24">
        <f>INDEX($H$24:$H$43,MATCH(B55,$K$24:$K$43,0))</f>
        <v/>
      </c>
      <c r="E55" s="24">
        <f>INDEX($I$24:$I$43,MATCH(B55,$K$24:$K$43,0))</f>
        <v/>
      </c>
    </row>
    <row r="56">
      <c r="B56">
        <f>ROWS($B$48:B56)</f>
        <v/>
      </c>
      <c r="C56">
        <f>INDEX($B$24:$B$43,MATCH(B56,$K$24:$K$43,0))</f>
        <v/>
      </c>
      <c r="D56" s="24">
        <f>INDEX($H$24:$H$43,MATCH(B56,$K$24:$K$43,0))</f>
        <v/>
      </c>
      <c r="E56" s="24">
        <f>INDEX($I$24:$I$43,MATCH(B56,$K$24:$K$43,0))</f>
        <v/>
      </c>
    </row>
    <row r="57">
      <c r="B57">
        <f>ROWS($B$48:B57)</f>
        <v/>
      </c>
      <c r="C57">
        <f>INDEX($B$24:$B$43,MATCH(B57,$K$24:$K$43,0))</f>
        <v/>
      </c>
      <c r="D57" s="24">
        <f>INDEX($H$24:$H$43,MATCH(B57,$K$24:$K$43,0))</f>
        <v/>
      </c>
      <c r="E57" s="24">
        <f>INDEX($I$24:$I$43,MATCH(B57,$K$24:$K$43,0))</f>
        <v/>
      </c>
    </row>
    <row r="59">
      <c r="B59" s="14" t="inlineStr">
        <is>
          <t>Two-way: NPV (EURm) - rows: Pillar C: peak uplift in average ticket; columns: Contribution margin on incremental revenue</t>
        </is>
      </c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</row>
    <row r="60">
      <c r="D60" t="inlineStr">
        <is>
          <t>Columns: Contribution margin on incremental revenue</t>
        </is>
      </c>
    </row>
    <row r="61">
      <c r="C61" s="24">
        <f>Calculations!$E$172</f>
        <v/>
      </c>
      <c r="D61" s="29">
        <f>Inputs!$E$35+(Inputs!$G$35-Inputs!$E$35)*(COLUMNS($D$61:D61)-1)/(COLUMNS($D$61:$H$61)-1)</f>
        <v/>
      </c>
      <c r="E61" s="29">
        <f>Inputs!$E$35+(Inputs!$G$35-Inputs!$E$35)*(COLUMNS($D$61:E61)-1)/(COLUMNS($D$61:$H$61)-1)</f>
        <v/>
      </c>
      <c r="F61" s="29">
        <f>Inputs!$E$35+(Inputs!$G$35-Inputs!$E$35)*(COLUMNS($D$61:F61)-1)/(COLUMNS($D$61:$H$61)-1)</f>
        <v/>
      </c>
      <c r="G61" s="29">
        <f>Inputs!$E$35+(Inputs!$G$35-Inputs!$E$35)*(COLUMNS($D$61:G61)-1)/(COLUMNS($D$61:$H$61)-1)</f>
        <v/>
      </c>
      <c r="H61" s="29">
        <f>Inputs!$E$35+(Inputs!$G$35-Inputs!$E$35)*(COLUMNS($D$61:H61)-1)/(COLUMNS($D$61:$H$61)-1)</f>
        <v/>
      </c>
    </row>
    <row r="62">
      <c r="B62" t="inlineStr">
        <is>
          <t>Rows: Pillar C: peak uplift in average ticket</t>
        </is>
      </c>
      <c r="C62" s="29">
        <f>Inputs!$E$27+(Inputs!$G$27-Inputs!$E$27)*(ROWS($C$62:C62)-1)/(ROWS($C$62:$C$66)-1)</f>
        <v/>
      </c>
      <c r="D62" s="24">
        <f t="dataTable" ref="D62:H66" dt2D="1" dtr="1" r1="E8" r2="E7"/>
        <v/>
      </c>
      <c r="E62" s="24" t="n"/>
      <c r="F62" s="24" t="n"/>
      <c r="G62" s="24" t="n"/>
      <c r="H62" s="24" t="n"/>
    </row>
    <row r="63">
      <c r="C63" s="29">
        <f>Inputs!$E$27+(Inputs!$G$27-Inputs!$E$27)*(ROWS($C$62:C63)-1)/(ROWS($C$62:$C$66)-1)</f>
        <v/>
      </c>
      <c r="D63" s="24" t="n"/>
      <c r="E63" s="24" t="n"/>
      <c r="F63" s="24" t="n"/>
      <c r="G63" s="24" t="n"/>
      <c r="H63" s="24" t="n"/>
    </row>
    <row r="64">
      <c r="C64" s="29">
        <f>Inputs!$E$27+(Inputs!$G$27-Inputs!$E$27)*(ROWS($C$62:C64)-1)/(ROWS($C$62:$C$66)-1)</f>
        <v/>
      </c>
      <c r="D64" s="24" t="n"/>
      <c r="E64" s="24" t="n"/>
      <c r="F64" s="24" t="n"/>
      <c r="G64" s="24" t="n"/>
      <c r="H64" s="24" t="n"/>
    </row>
    <row r="65">
      <c r="C65" s="29">
        <f>Inputs!$E$27+(Inputs!$G$27-Inputs!$E$27)*(ROWS($C$62:C65)-1)/(ROWS($C$62:$C$66)-1)</f>
        <v/>
      </c>
      <c r="D65" s="24" t="n"/>
      <c r="E65" s="24" t="n"/>
      <c r="F65" s="24" t="n"/>
      <c r="G65" s="24" t="n"/>
      <c r="H65" s="24" t="n"/>
    </row>
    <row r="66">
      <c r="C66" s="29">
        <f>Inputs!$E$27+(Inputs!$G$27-Inputs!$E$27)*(ROWS($C$62:C66)-1)/(ROWS($C$62:$C$66)-1)</f>
        <v/>
      </c>
      <c r="D66" s="24" t="n"/>
      <c r="E66" s="24" t="n"/>
      <c r="F66" s="24" t="n"/>
      <c r="G66" s="24" t="n"/>
      <c r="H66" s="24" t="n"/>
    </row>
    <row r="69">
      <c r="B69" s="14" t="inlineStr">
        <is>
          <t>Two-way: NPV (EURm) - rows: Terminal growth of incremental FCF after the horizon; columns: Bass p</t>
        </is>
      </c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</row>
    <row r="70">
      <c r="D70" t="inlineStr">
        <is>
          <t>Columns: Bass p</t>
        </is>
      </c>
    </row>
    <row r="71">
      <c r="C71" s="24">
        <f>Calculations!$E$172</f>
        <v/>
      </c>
      <c r="D71" s="38">
        <f>Inputs!$E$20+(Inputs!$G$20-Inputs!$E$20)*(COLUMNS($D$71:D71)-1)/(COLUMNS($D$71:$H$71)-1)</f>
        <v/>
      </c>
      <c r="E71" s="38">
        <f>Inputs!$E$20+(Inputs!$G$20-Inputs!$E$20)*(COLUMNS($D$71:E71)-1)/(COLUMNS($D$71:$H$71)-1)</f>
        <v/>
      </c>
      <c r="F71" s="38">
        <f>Inputs!$E$20+(Inputs!$G$20-Inputs!$E$20)*(COLUMNS($D$71:F71)-1)/(COLUMNS($D$71:$H$71)-1)</f>
        <v/>
      </c>
      <c r="G71" s="38">
        <f>Inputs!$E$20+(Inputs!$G$20-Inputs!$E$20)*(COLUMNS($D$71:G71)-1)/(COLUMNS($D$71:$H$71)-1)</f>
        <v/>
      </c>
      <c r="H71" s="38">
        <f>Inputs!$E$20+(Inputs!$G$20-Inputs!$E$20)*(COLUMNS($D$71:H71)-1)/(COLUMNS($D$71:$H$71)-1)</f>
        <v/>
      </c>
    </row>
    <row r="72">
      <c r="B72" t="inlineStr">
        <is>
          <t>Rows: Terminal growth of incremental FCF after the horizon</t>
        </is>
      </c>
      <c r="C72" s="29">
        <f>Inputs!$E$42+(Inputs!$G$42-Inputs!$E$42)*(ROWS($C$72:C72)-1)/(ROWS($C$72:$C$76)-1)</f>
        <v/>
      </c>
      <c r="D72" s="24">
        <f t="dataTable" ref="D72:H76" dt2D="1" dtr="1" r1="E10" r2="E9"/>
        <v/>
      </c>
      <c r="E72" s="24" t="n"/>
      <c r="F72" s="24" t="n"/>
      <c r="G72" s="24" t="n"/>
      <c r="H72" s="24" t="n"/>
    </row>
    <row r="73">
      <c r="C73" s="29">
        <f>Inputs!$E$42+(Inputs!$G$42-Inputs!$E$42)*(ROWS($C$72:C73)-1)/(ROWS($C$72:$C$76)-1)</f>
        <v/>
      </c>
      <c r="D73" s="24" t="n"/>
      <c r="E73" s="24" t="n"/>
      <c r="F73" s="24" t="n"/>
      <c r="G73" s="24" t="n"/>
      <c r="H73" s="24" t="n"/>
    </row>
    <row r="74">
      <c r="C74" s="29">
        <f>Inputs!$E$42+(Inputs!$G$42-Inputs!$E$42)*(ROWS($C$72:C74)-1)/(ROWS($C$72:$C$76)-1)</f>
        <v/>
      </c>
      <c r="D74" s="24" t="n"/>
      <c r="E74" s="24" t="n"/>
      <c r="F74" s="24" t="n"/>
      <c r="G74" s="24" t="n"/>
      <c r="H74" s="24" t="n"/>
    </row>
    <row r="75">
      <c r="C75" s="29">
        <f>Inputs!$E$42+(Inputs!$G$42-Inputs!$E$42)*(ROWS($C$72:C75)-1)/(ROWS($C$72:$C$76)-1)</f>
        <v/>
      </c>
      <c r="D75" s="24" t="n"/>
      <c r="E75" s="24" t="n"/>
      <c r="F75" s="24" t="n"/>
      <c r="G75" s="24" t="n"/>
      <c r="H75" s="24" t="n"/>
    </row>
    <row r="76">
      <c r="C76" s="29">
        <f>Inputs!$E$42+(Inputs!$G$42-Inputs!$E$42)*(ROWS($C$72:C76)-1)/(ROWS($C$72:$C$76)-1)</f>
        <v/>
      </c>
      <c r="D76" s="24" t="n"/>
      <c r="E76" s="24" t="n"/>
      <c r="F76" s="24" t="n"/>
      <c r="G76" s="24" t="n"/>
      <c r="H76" s="24" t="n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P39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14" customWidth="1" min="5" max="5"/>
    <col width="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B1" s="6" t="inlineStr">
        <is>
          <t>Checks</t>
        </is>
      </c>
    </row>
    <row r="2">
      <c r="B2" s="7" t="inlineStr">
        <is>
          <t>Each check reads OK or ERROR. Total errors must be 0 before handover. Then run scripts/check_model.py (the independent judge).</t>
        </is>
      </c>
    </row>
    <row r="3">
      <c r="B3" s="3" t="inlineStr">
        <is>
          <t>Period</t>
        </is>
      </c>
      <c r="G3" s="27">
        <f>Calculations!G3</f>
        <v/>
      </c>
      <c r="H3" s="27">
        <f>Calculations!H3</f>
        <v/>
      </c>
      <c r="I3" s="27">
        <f>Calculations!I3</f>
        <v/>
      </c>
      <c r="J3" s="27">
        <f>Calculations!J3</f>
        <v/>
      </c>
      <c r="K3" s="27">
        <f>Calculations!K3</f>
        <v/>
      </c>
      <c r="L3" s="27">
        <f>Calculations!L3</f>
        <v/>
      </c>
      <c r="M3" s="27">
        <f>Calculations!M3</f>
        <v/>
      </c>
      <c r="N3" s="27">
        <f>Calculations!N3</f>
        <v/>
      </c>
      <c r="O3" s="27">
        <f>Calculations!O3</f>
        <v/>
      </c>
      <c r="P3" s="27">
        <f>Calculations!P3</f>
        <v/>
      </c>
    </row>
    <row r="4">
      <c r="B4" s="3" t="inlineStr">
        <is>
          <t>Year</t>
        </is>
      </c>
      <c r="G4" s="28">
        <f>Calculations!G4</f>
        <v/>
      </c>
      <c r="H4" s="28">
        <f>Calculations!H4</f>
        <v/>
      </c>
      <c r="I4" s="28">
        <f>Calculations!I4</f>
        <v/>
      </c>
      <c r="J4" s="28">
        <f>Calculations!J4</f>
        <v/>
      </c>
      <c r="K4" s="28">
        <f>Calculations!K4</f>
        <v/>
      </c>
      <c r="L4" s="28">
        <f>Calculations!L4</f>
        <v/>
      </c>
      <c r="M4" s="28">
        <f>Calculations!M4</f>
        <v/>
      </c>
      <c r="N4" s="28">
        <f>Calculations!N4</f>
        <v/>
      </c>
      <c r="O4" s="28">
        <f>Calculations!O4</f>
        <v/>
      </c>
      <c r="P4" s="28">
        <f>Calculations!P4</f>
        <v/>
      </c>
    </row>
    <row r="6">
      <c r="B6" s="2" t="inlineStr">
        <is>
          <t>Total errors (must be 0)</t>
        </is>
      </c>
      <c r="E6" s="39">
        <f>COUNTIF(E9:E39,"ERROR")</f>
        <v/>
      </c>
    </row>
    <row r="8">
      <c r="B8" s="3" t="inlineStr">
        <is>
          <t>Check</t>
        </is>
      </c>
      <c r="C8" s="3" t="inlineStr">
        <is>
          <t>Value</t>
        </is>
      </c>
      <c r="D8" s="3" t="inlineStr">
        <is>
          <t>Limit</t>
        </is>
      </c>
      <c r="E8" s="3" t="inlineStr">
        <is>
          <t>Result</t>
        </is>
      </c>
    </row>
    <row r="9">
      <c r="B9" t="inlineStr">
        <is>
          <t>Baseline calibration: model base-year revenue vs reported (2024)</t>
        </is>
      </c>
      <c r="C9">
        <f>ABS(Calculations!$E$190/Calculations!$E$191-1)</f>
        <v/>
      </c>
      <c r="D9">
        <f>Inputs!$F$48</f>
        <v/>
      </c>
      <c r="E9">
        <f>IF(C9&lt;=D9,"OK","ERROR")</f>
        <v/>
      </c>
    </row>
    <row r="10">
      <c r="B10" t="inlineStr">
        <is>
          <t>Initiatives add up to stream incremental revenue (abs. difference)</t>
        </is>
      </c>
      <c r="C10">
        <f>MAX(L10:P10)</f>
        <v/>
      </c>
      <c r="D10">
        <f>Inputs!$F$49</f>
        <v/>
      </c>
      <c r="E10">
        <f>IF(C10&lt;=D10,"OK","ERROR")</f>
        <v/>
      </c>
      <c r="L10" s="26">
        <f>ABS(Calculations!L128-Calculations!L119)</f>
        <v/>
      </c>
      <c r="M10" s="26">
        <f>ABS(Calculations!M128-Calculations!M119)</f>
        <v/>
      </c>
      <c r="N10" s="26">
        <f>ABS(Calculations!N128-Calculations!N119)</f>
        <v/>
      </c>
      <c r="O10" s="26">
        <f>ABS(Calculations!O128-Calculations!O119)</f>
        <v/>
      </c>
      <c r="P10" s="26">
        <f>ABS(Calculations!P128-Calculations!P119)</f>
        <v/>
      </c>
    </row>
    <row r="11">
      <c r="B11" t="inlineStr">
        <is>
          <t>Initiatives' EBIT adds up to incremental EBIT (abs. difference)</t>
        </is>
      </c>
      <c r="C11">
        <f>MAX(L11:P11)</f>
        <v/>
      </c>
      <c r="D11">
        <f>Inputs!$F$49</f>
        <v/>
      </c>
      <c r="E11">
        <f>IF(C11&lt;=D11,"OK","ERROR")</f>
        <v/>
      </c>
      <c r="L11" s="26">
        <f>ABS(Calculations!L156-Calculations!L160)</f>
        <v/>
      </c>
      <c r="M11" s="26">
        <f>ABS(Calculations!M156-Calculations!M160)</f>
        <v/>
      </c>
      <c r="N11" s="26">
        <f>ABS(Calculations!N156-Calculations!N160)</f>
        <v/>
      </c>
      <c r="O11" s="26">
        <f>ABS(Calculations!O156-Calculations!O160)</f>
        <v/>
      </c>
      <c r="P11" s="26">
        <f>ABS(Calculations!P156-Calculations!P160)</f>
        <v/>
      </c>
    </row>
    <row r="12">
      <c r="B12" t="inlineStr">
        <is>
          <t>Pillars add up to initiatives (abs. difference)</t>
        </is>
      </c>
      <c r="C12">
        <f>MAX(L12:P12)</f>
        <v/>
      </c>
      <c r="D12">
        <f>Inputs!$F$49</f>
        <v/>
      </c>
      <c r="E12">
        <f>IF(C12&lt;=D12,"OK","ERROR")</f>
        <v/>
      </c>
      <c r="L12" s="26">
        <f>ABS(Calculations!L134-Calculations!L128)</f>
        <v/>
      </c>
      <c r="M12" s="26">
        <f>ABS(Calculations!M134-Calculations!M128)</f>
        <v/>
      </c>
      <c r="N12" s="26">
        <f>ABS(Calculations!N134-Calculations!N128)</f>
        <v/>
      </c>
      <c r="O12" s="26">
        <f>ABS(Calculations!O134-Calculations!O128)</f>
        <v/>
      </c>
      <c r="P12" s="26">
        <f>ABS(Calculations!P134-Calculations!P128)</f>
        <v/>
      </c>
    </row>
    <row r="13">
      <c r="B13" t="inlineStr">
        <is>
          <t>Target = baseline + incremental (abs. difference)</t>
        </is>
      </c>
      <c r="C13">
        <f>MAX(L13:P13)</f>
        <v/>
      </c>
      <c r="D13">
        <f>Inputs!$F$49</f>
        <v/>
      </c>
      <c r="E13">
        <f>IF(C13&lt;=D13,"OK","ERROR")</f>
        <v/>
      </c>
      <c r="L13" s="26">
        <f>ABS(Calculations!L118-Calculations!L117-Calculations!L119)</f>
        <v/>
      </c>
      <c r="M13" s="26">
        <f>ABS(Calculations!M118-Calculations!M117-Calculations!M119)</f>
        <v/>
      </c>
      <c r="N13" s="26">
        <f>ABS(Calculations!N118-Calculations!N117-Calculations!N119)</f>
        <v/>
      </c>
      <c r="O13" s="26">
        <f>ABS(Calculations!O118-Calculations!O117-Calculations!O119)</f>
        <v/>
      </c>
      <c r="P13" s="26">
        <f>ABS(Calculations!P118-Calculations!P117-Calculations!P119)</f>
        <v/>
      </c>
    </row>
    <row r="14">
      <c r="B14" t="inlineStr">
        <is>
          <t>Base case vs history: baseline revenue CAGR inside the historical band (Calculations 9b)</t>
        </is>
      </c>
      <c r="C14" s="5">
        <f>Calculations!$E$194</f>
        <v/>
      </c>
      <c r="D14" s="5">
        <f>Calculations!$E$196</f>
        <v/>
      </c>
      <c r="E14">
        <f>IF(AND(C14&gt;=Calculations!$E$195,C14&lt;=D14),"OK","ERROR")</f>
        <v/>
      </c>
    </row>
    <row r="15">
      <c r="B15" t="inlineStr">
        <is>
          <t>Bridge closes: baseline + steps = target (abs. difference)</t>
        </is>
      </c>
      <c r="C15">
        <f>ABS(Bridge!C5+SUM(Bridge!C6:C8)-Bridge!C9)</f>
        <v/>
      </c>
      <c r="D15">
        <f>Inputs!$F$49</f>
        <v/>
      </c>
      <c r="E15">
        <f>IF(C15&lt;=D15,"OK","ERROR")</f>
        <v/>
      </c>
    </row>
    <row r="16">
      <c r="B16" t="inlineStr">
        <is>
          <t>EBIT bridge closes: steps = incremental EBIT (abs. difference)</t>
        </is>
      </c>
      <c r="C16">
        <f>ABS(Bridge!C12+SUM(Bridge!C13:C15)-Bridge!C16)</f>
        <v/>
      </c>
      <c r="D16">
        <f>Inputs!$F$49</f>
        <v/>
      </c>
      <c r="E16">
        <f>IF(C16&lt;=D16,"OK","ERROR")</f>
        <v/>
      </c>
    </row>
    <row r="17">
      <c r="B17" t="inlineStr">
        <is>
          <t>Objectives: strategies add up to the change in Revenue</t>
        </is>
      </c>
      <c r="C17">
        <f>ABS(Objectives!D14-Calculations!$E$211)</f>
        <v/>
      </c>
      <c r="D17">
        <f>Inputs!$F$49</f>
        <v/>
      </c>
      <c r="E17">
        <f>IF(C17&lt;=D17,"OK","ERROR")</f>
        <v/>
      </c>
    </row>
    <row r="18">
      <c r="B18" t="inlineStr">
        <is>
          <t>Objectives: pillars add up to the change in Revenue</t>
        </is>
      </c>
      <c r="C18">
        <f>ABS(Objectives!D21-Calculations!$E$211)</f>
        <v/>
      </c>
      <c r="D18">
        <f>Inputs!$F$49</f>
        <v/>
      </c>
      <c r="E18">
        <f>IF(C18&lt;=D18,"OK","ERROR")</f>
        <v/>
      </c>
    </row>
    <row r="19">
      <c r="B19" t="inlineStr">
        <is>
          <t>Objectives: strategies add up to the change in EBITDA</t>
        </is>
      </c>
      <c r="C19">
        <f>ABS(Objectives!E14-Calculations!$E$215)</f>
        <v/>
      </c>
      <c r="D19">
        <f>Inputs!$F$49</f>
        <v/>
      </c>
      <c r="E19">
        <f>IF(C19&lt;=D19,"OK","ERROR")</f>
        <v/>
      </c>
    </row>
    <row r="20">
      <c r="B20" t="inlineStr">
        <is>
          <t>Objectives: pillars add up to the change in EBITDA</t>
        </is>
      </c>
      <c r="C20">
        <f>ABS(Objectives!E21-Calculations!$E$215)</f>
        <v/>
      </c>
      <c r="D20">
        <f>Inputs!$F$49</f>
        <v/>
      </c>
      <c r="E20">
        <f>IF(C20&lt;=D20,"OK","ERROR")</f>
        <v/>
      </c>
    </row>
    <row r="21">
      <c r="B21" t="inlineStr">
        <is>
          <t>Frameworks: '1. Triple bottom line (Elkington)' adds up to the change in Revenue</t>
        </is>
      </c>
      <c r="C21">
        <f>ABS(Frameworks!D10-Calculations!$E$211)</f>
        <v/>
      </c>
      <c r="D21">
        <f>Inputs!$F$49</f>
        <v/>
      </c>
      <c r="E21">
        <f>IF(C21&lt;=D21,"OK","ERROR")</f>
        <v/>
      </c>
    </row>
    <row r="22">
      <c r="B22" t="inlineStr">
        <is>
          <t>Frameworks: '1. Triple bottom line (Elkington)' adds up to the change in EBITDA</t>
        </is>
      </c>
      <c r="C22">
        <f>ABS(Frameworks!E10-Calculations!$E$215)</f>
        <v/>
      </c>
      <c r="D22">
        <f>Inputs!$F$49</f>
        <v/>
      </c>
      <c r="E22">
        <f>IF(C22&lt;=D22,"OK","ERROR")</f>
        <v/>
      </c>
    </row>
    <row r="23">
      <c r="B23" t="inlineStr">
        <is>
          <t>Frameworks: '3. Ansoff matrix' adds up to the change in Revenue</t>
        </is>
      </c>
      <c r="C23">
        <f>ABS(Frameworks!D32-Calculations!$E$211)</f>
        <v/>
      </c>
      <c r="D23">
        <f>Inputs!$F$49</f>
        <v/>
      </c>
      <c r="E23">
        <f>IF(C23&lt;=D23,"OK","ERROR")</f>
        <v/>
      </c>
    </row>
    <row r="24">
      <c r="B24" t="inlineStr">
        <is>
          <t>Frameworks: '3. Ansoff matrix' adds up to the change in EBITDA</t>
        </is>
      </c>
      <c r="C24">
        <f>ABS(Frameworks!E32-Calculations!$E$215)</f>
        <v/>
      </c>
      <c r="D24">
        <f>Inputs!$F$49</f>
        <v/>
      </c>
      <c r="E24">
        <f>IF(C24&lt;=D24,"OK","ERROR")</f>
        <v/>
      </c>
    </row>
    <row r="25">
      <c r="B25" t="inlineStr">
        <is>
          <t>Frameworks: '4. Marketing mix (4Ps)' adds up to the change in Revenue</t>
        </is>
      </c>
      <c r="C25">
        <f>ABS(Frameworks!D44-Calculations!$E$211)</f>
        <v/>
      </c>
      <c r="D25">
        <f>Inputs!$F$49</f>
        <v/>
      </c>
      <c r="E25">
        <f>IF(C25&lt;=D25,"OK","ERROR")</f>
        <v/>
      </c>
    </row>
    <row r="26">
      <c r="B26" t="inlineStr">
        <is>
          <t>Frameworks: '4. Marketing mix (4Ps)' adds up to the change in EBITDA</t>
        </is>
      </c>
      <c r="C26">
        <f>ABS(Frameworks!E44-Calculations!$E$215)</f>
        <v/>
      </c>
      <c r="D26">
        <f>Inputs!$F$49</f>
        <v/>
      </c>
      <c r="E26">
        <f>IF(C26&lt;=D26,"OK","ERROR")</f>
        <v/>
      </c>
    </row>
    <row r="27">
      <c r="B27" t="inlineStr">
        <is>
          <t>Frameworks: '5. Value chain (Porter)' adds up to the change in Revenue</t>
        </is>
      </c>
      <c r="C27">
        <f>ABS(Frameworks!D60-Calculations!$E$211)</f>
        <v/>
      </c>
      <c r="D27">
        <f>Inputs!$F$49</f>
        <v/>
      </c>
      <c r="E27">
        <f>IF(C27&lt;=D27,"OK","ERROR")</f>
        <v/>
      </c>
    </row>
    <row r="28">
      <c r="B28" t="inlineStr">
        <is>
          <t>Frameworks: '5. Value chain (Porter)' adds up to the change in EBITDA</t>
        </is>
      </c>
      <c r="C28">
        <f>ABS(Frameworks!E60-Calculations!$E$215)</f>
        <v/>
      </c>
      <c r="D28">
        <f>Inputs!$F$49</f>
        <v/>
      </c>
      <c r="E28">
        <f>IF(C28&lt;=D28,"OK","ERROR")</f>
        <v/>
      </c>
    </row>
    <row r="29">
      <c r="B29" t="inlineStr">
        <is>
          <t>Frameworks: profitability tree adds up to the change in EBITDA</t>
        </is>
      </c>
      <c r="C29">
        <f>ABS(Frameworks!C21-Calculations!$E$215)</f>
        <v/>
      </c>
      <c r="D29">
        <f>Inputs!$F$49</f>
        <v/>
      </c>
      <c r="E29">
        <f>IF(C29&lt;=D29,"OK","ERROR")</f>
        <v/>
      </c>
    </row>
    <row r="30">
      <c r="B30" t="inlineStr">
        <is>
          <t>Penetration never exceeds 100% of the addressable market</t>
        </is>
      </c>
      <c r="C30">
        <f>MAX(Calculations!K85:P85)</f>
        <v/>
      </c>
      <c r="D30" t="inlineStr">
        <is>
          <t>&lt;= 100%</t>
        </is>
      </c>
      <c r="E30">
        <f>IF(C30&lt;=1,"OK","ERROR")</f>
        <v/>
      </c>
    </row>
    <row r="31">
      <c r="B31" t="inlineStr">
        <is>
          <t>No driver goes negative</t>
        </is>
      </c>
      <c r="C31">
        <f>MIN(Calculations!K83:P83,Calculations!K93:P93,Calculations!K101:P101)</f>
        <v/>
      </c>
      <c r="D31" t="inlineStr">
        <is>
          <t>&gt;= 0</t>
        </is>
      </c>
      <c r="E31">
        <f>IF(C31&gt;=0,"OK","ERROR")</f>
        <v/>
      </c>
    </row>
    <row r="32">
      <c r="B32" t="inlineStr">
        <is>
          <t>Register: low &lt;= base &lt;= high on every row (count of breaks)</t>
        </is>
      </c>
      <c r="C32">
        <f>SUMPRODUCT((Inputs!E6:E53&gt;Inputs!F6:F53)*1)+SUMPRODUCT((Inputs!F6:F53&gt;Inputs!G6:G53)*1)</f>
        <v/>
      </c>
      <c r="D32" t="inlineStr">
        <is>
          <t>0</t>
        </is>
      </c>
      <c r="E32">
        <f>IF(C32=0,"OK","ERROR")</f>
        <v/>
      </c>
    </row>
    <row r="33">
      <c r="B33" t="inlineStr">
        <is>
          <t>Register: every input has a source and a grade (count missing)</t>
        </is>
      </c>
      <c r="C33">
        <f>SUMPRODUCT((Inputs!F6:F53&lt;&gt;"")*(Inputs!I6:I53=""))+SUMPRODUCT((Inputs!F6:F53&lt;&gt;"")*(Inputs!L6:L53=""))</f>
        <v/>
      </c>
      <c r="D33" t="inlineStr">
        <is>
          <t>0</t>
        </is>
      </c>
      <c r="E33">
        <f>IF(C33=0,"OK","ERROR")</f>
        <v/>
      </c>
    </row>
    <row r="34">
      <c r="B34" t="inlineStr">
        <is>
          <t>Register: uplifts above the reference-class upper quartile have a written justification (count missing)</t>
        </is>
      </c>
      <c r="C34">
        <f>SUMPRODUCT((Inputs!D6:D53="uplift")*(Inputs!F6:F53&gt;Inputs!O6:O53)*(Inputs!Q6:Q53=""))</f>
        <v/>
      </c>
      <c r="D34" t="inlineStr">
        <is>
          <t>0</t>
        </is>
      </c>
      <c r="E34">
        <f>IF(C34=0,"OK","ERROR")</f>
        <v/>
      </c>
    </row>
    <row r="35">
      <c r="B35" t="inlineStr">
        <is>
          <t>Initiative NPVs add up to the strategy NPV (abs. difference)</t>
        </is>
      </c>
      <c r="C35">
        <f>ABS(Calculations!$E$186-Calculations!$E$172)</f>
        <v/>
      </c>
      <c r="D35">
        <f>Inputs!$F$49</f>
        <v/>
      </c>
      <c r="E35">
        <f>IF(C35&lt;=D35,"OK","ERROR")</f>
        <v/>
      </c>
    </row>
    <row r="36">
      <c r="B36" t="inlineStr">
        <is>
          <t>WACC above terminal growth (Gordon model valid)</t>
        </is>
      </c>
      <c r="C36">
        <f>Calculations!$E$74-Calculations!$E$65</f>
        <v/>
      </c>
      <c r="D36" t="inlineStr">
        <is>
          <t>&gt; 0</t>
        </is>
      </c>
      <c r="E36">
        <f>IF(C36&gt;0,"OK","ERROR")</f>
        <v/>
      </c>
    </row>
    <row r="37">
      <c r="B37" t="inlineStr">
        <is>
          <t>Scenarios ordered: NPV low &lt;= base &lt;= high</t>
        </is>
      </c>
      <c r="C37">
        <f>IF(AND(Sensitivity!$D$16&lt;=Sensitivity!$D$17,Sensitivity!$D$17&lt;=Sensitivity!$D$18),0,1)</f>
        <v/>
      </c>
      <c r="D37" t="inlineStr">
        <is>
          <t>0</t>
        </is>
      </c>
      <c r="E37">
        <f>IF(C37=0,"OK","ERROR")</f>
        <v/>
      </c>
    </row>
    <row r="38">
      <c r="B38" t="inlineStr">
        <is>
          <t>Controls neutral: scenario = Base, tornado off, no overrides (count set)</t>
        </is>
      </c>
      <c r="C38">
        <f>(Sensitivity!$E$5&lt;&gt;Sensitivity!$C$17)*1+(Sensitivity!$E$6&lt;&gt;0)*1+COUNT(Sensitivity!$E$7)+COUNT(Sensitivity!$E$8)+COUNT(Sensitivity!$E$9)+COUNT(Sensitivity!$E$10)</f>
        <v/>
      </c>
      <c r="D38" t="inlineStr">
        <is>
          <t>0</t>
        </is>
      </c>
      <c r="E38">
        <f>IF(C38=0,"OK","ERROR")</f>
        <v/>
      </c>
    </row>
    <row r="39">
      <c r="B39" t="inlineStr">
        <is>
          <t>Max YoY growth of target revenue (must stay under the growth cap)</t>
        </is>
      </c>
      <c r="C39" s="5">
        <f>MAX(L39:P39)</f>
        <v/>
      </c>
      <c r="D39" s="5">
        <f>Inputs!$F$47</f>
        <v/>
      </c>
      <c r="E39">
        <f>IF(C39&lt;=D39,"OK","ERROR")</f>
        <v/>
      </c>
      <c r="L39" s="5">
        <f>Calculations!L118/Calculations!K118-1</f>
        <v/>
      </c>
      <c r="M39" s="5">
        <f>Calculations!M118/Calculations!L118-1</f>
        <v/>
      </c>
      <c r="N39" s="5">
        <f>Calculations!N118/Calculations!M118-1</f>
        <v/>
      </c>
      <c r="O39" s="5">
        <f>Calculations!O118/Calculations!N118-1</f>
        <v/>
      </c>
      <c r="P39" s="5">
        <f>Calculations!P118/Calculations!O118-1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B13"/>
  <sheetViews>
    <sheetView workbookViewId="0">
      <selection activeCell="A1" sqref="A1"/>
    </sheetView>
  </sheetViews>
  <sheetFormatPr baseColWidth="8" defaultRowHeight="15"/>
  <cols>
    <col width="6" customWidth="1" min="1" max="1"/>
    <col width="140" customWidth="1" min="2" max="2"/>
    <col width="12" customWidth="1" min="3" max="3"/>
    <col width="14" customWidth="1" min="4" max="4"/>
    <col width="14" customWidth="1" min="5" max="5"/>
    <col width="4" customWidth="1" min="6" max="6"/>
  </cols>
  <sheetData>
    <row r="1">
      <c r="B1" s="6" t="inlineStr">
        <is>
          <t>Driver tree</t>
        </is>
      </c>
    </row>
    <row r="2">
      <c r="B2" s="7" t="inlineStr">
        <is>
          <t>Every leaf is measurable and has one owning initiative or an explicit split rule.</t>
        </is>
      </c>
    </row>
    <row r="4">
      <c r="B4" s="2" t="inlineStr">
        <is>
          <t>Target metric: incremental revenue growth (EURm), 2025-2029 vs do-nothing</t>
        </is>
      </c>
    </row>
    <row r="5">
      <c r="B5" s="40" t="inlineStr">
        <is>
          <t>Revenue stream: Core revenue = Customers x Purchases per customer x Average ticket x Unit conversion: EUR to EURm with customers in millions</t>
        </is>
      </c>
    </row>
    <row r="6">
      <c r="B6" s="41" t="inlineStr">
        <is>
          <t>Leaf: Customers [m] - owner: Initiative A1 - split: single owner - measured by: History: last reported value of Customers (reported) 2020-2024 (live link to the Actuals sheet). Data: ILLUSTRATIVE - replace (annual report KPIs / case pack)</t>
        </is>
      </c>
    </row>
    <row r="7">
      <c r="B7" s="42" t="inlineStr">
        <is>
          <t>Initiative: Initiative A1 (a) - Raise customers</t>
        </is>
      </c>
    </row>
    <row r="8">
      <c r="B8" s="41" t="inlineStr">
        <is>
          <t>Leaf: Purchases per customer [x] - owner: Initiative B1 - split: single owner - measured by: ILLUSTRATIVE - replace (loyalty data)</t>
        </is>
      </c>
    </row>
    <row r="9">
      <c r="B9" s="42" t="inlineStr">
        <is>
          <t>Initiative: Initiative B1 (b) - Raise purchase frequency</t>
        </is>
      </c>
    </row>
    <row r="10">
      <c r="B10" s="41" t="inlineStr">
        <is>
          <t>Leaf: Average ticket [EUR] - owner: Initiative C1 - split: single owner - measured by: Derived: revenue / (customers x purchases)</t>
        </is>
      </c>
    </row>
    <row r="11">
      <c r="B11" s="42" t="inlineStr">
        <is>
          <t>Initiative: Initiative C1 (c) - Raise average ticket</t>
        </is>
      </c>
    </row>
    <row r="12">
      <c r="B12" s="40" t="inlineStr">
        <is>
          <t>Costs: initiative opex and capex (quantity x unit cost where given); incremental EBIT = incremental revenue x margin + cost savings - opex</t>
        </is>
      </c>
    </row>
    <row r="13">
      <c r="B13" s="40" t="inlineStr">
        <is>
          <t>Cash: FCF = EBIT x (1 - tax) - capex, discounted at WACC = E/V x (rf + beta x ERP + CRP) + D/V x kd x (1 - tax)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26" customWidth="1" min="3" max="3"/>
    <col width="50" customWidth="1" min="4" max="4"/>
    <col width="40" customWidth="1" min="5" max="5"/>
    <col width="12" customWidth="1" min="6" max="6"/>
    <col width="30" customWidth="1" min="7" max="7"/>
    <col width="12" customWidth="1" min="8" max="8"/>
    <col width="9" customWidth="1" min="9" max="9"/>
    <col width="30" customWidth="1" min="10" max="10"/>
    <col width="60" customWidth="1" min="11" max="11"/>
  </cols>
  <sheetData>
    <row r="1">
      <c r="B1" s="6" t="inlineStr">
        <is>
          <t>Data Request Sheet</t>
        </is>
      </c>
    </row>
    <row r="2">
      <c r="B2" s="7" t="inlineStr">
        <is>
          <t>Pull each licensed item from the IE library, export with the exact file name, upload it, and Claude updates the Inputs row.</t>
        </is>
      </c>
    </row>
    <row r="4">
      <c r="A4" s="3" t="inlineStr">
        <is>
          <t>Who</t>
        </is>
      </c>
      <c r="B4" s="3" t="inlineStr">
        <is>
          <t>Needed for (input)</t>
        </is>
      </c>
      <c r="C4" s="3" t="inlineStr">
        <is>
          <t>Database / source</t>
        </is>
      </c>
      <c r="D4" s="3" t="inlineStr">
        <is>
          <t>Exact table, report or URL</t>
        </is>
      </c>
      <c r="E4" s="3" t="inlineStr">
        <is>
          <t>Filters</t>
        </is>
      </c>
      <c r="F4" s="3" t="inlineStr">
        <is>
          <t>Years</t>
        </is>
      </c>
      <c r="G4" s="3" t="inlineStr">
        <is>
          <t>Export as (file name)</t>
        </is>
      </c>
      <c r="H4" s="3" t="inlineStr">
        <is>
          <t>Owner</t>
        </is>
      </c>
      <c r="I4" s="3" t="inlineStr">
        <is>
          <t>Status</t>
        </is>
      </c>
      <c r="J4" s="3" t="inlineStr">
        <is>
          <t>Route</t>
        </is>
      </c>
      <c r="K4" s="3" t="inlineStr">
        <is>
          <t>Manual fallback</t>
        </is>
      </c>
    </row>
    <row r="5">
      <c r="A5" t="inlineStr">
        <is>
          <t>Team pulls (IE library)</t>
        </is>
      </c>
      <c r="B5" t="inlineStr">
        <is>
          <t>rev - Revenue (reported)</t>
        </is>
      </c>
      <c r="C5" t="inlineStr">
        <is>
          <t>SABI</t>
        </is>
      </c>
      <c r="D5" t="inlineStr">
        <is>
          <t>Company &gt; Cuentas &gt; Cuenta de perdidas y ganancias</t>
        </is>
      </c>
      <c r="E5" t="inlineStr">
        <is>
          <t>Individual, EUR thousands</t>
        </is>
      </c>
      <c r="F5" t="inlineStr">
        <is>
          <t>2020-2024</t>
        </is>
      </c>
      <c r="G5" t="inlineStr">
        <is>
          <t>sabi_example_pl_2020_2024.xlsx</t>
        </is>
      </c>
      <c r="H5" t="inlineStr"/>
      <c r="I5" t="inlineStr">
        <is>
          <t>open</t>
        </is>
      </c>
      <c r="J5" t="inlineStr">
        <is>
          <t>Browser agent (supervised), else team manual export</t>
        </is>
      </c>
      <c r="K5" t="inlineStr">
        <is>
          <t>Log in to SABI through the IE library portal, apply the filters, export as sabi_example_pl_2020_2024.xlsx, upload it; until then the provisional value stays (see grade)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2026-10-23T15:29:32Z</dcterms:created>
  <dcterms:modified xmlns:dcterms="http://purl.org/dc/terms/" xmlns:xsi="http://www.w3.org/2001/XMLSchema-instance" xsi:type="dcterms:W3CDTF">2026-10-23T15:29:32Z</dcterms:modified>
</cp:coreProperties>
</file>